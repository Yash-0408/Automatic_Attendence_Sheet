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\OneDrive\Desktop\excel\"/>
    </mc:Choice>
  </mc:AlternateContent>
  <xr:revisionPtr revIDLastSave="0" documentId="13_ncr:1_{0353045C-E477-407E-BBCF-E96C6B6C4133}" xr6:coauthVersionLast="47" xr6:coauthVersionMax="47" xr10:uidLastSave="{00000000-0000-0000-0000-000000000000}"/>
  <bookViews>
    <workbookView xWindow="-108" yWindow="-108" windowWidth="23256" windowHeight="12456" xr2:uid="{47C8BBD2-8BC5-4832-AEC9-96535E10F7C8}"/>
  </bookViews>
  <sheets>
    <sheet name="automatic attenednce sheet 1" sheetId="1" r:id="rId1"/>
    <sheet name="Sheet2" sheetId="2" state="hidden" r:id="rId2"/>
    <sheet name="automatic attendence sheet" sheetId="3" state="hidden" r:id="rId3"/>
    <sheet name="Sheet4" sheetId="4" state="hidden" r:id="rId4"/>
    <sheet name="date,day,month &amp; year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0" i="1" l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AK7" i="3"/>
  <c r="AK8" i="3"/>
  <c r="AK9" i="3"/>
  <c r="AK10" i="3"/>
  <c r="AK11" i="3"/>
  <c r="AK12" i="3"/>
  <c r="AK13" i="3"/>
  <c r="AK14" i="3"/>
  <c r="AK15" i="3"/>
  <c r="AK6" i="3"/>
  <c r="AI7" i="3"/>
  <c r="AJ7" i="3"/>
  <c r="AL7" i="3"/>
  <c r="AI8" i="3"/>
  <c r="AJ8" i="3"/>
  <c r="AL8" i="3"/>
  <c r="AI9" i="3"/>
  <c r="AJ9" i="3"/>
  <c r="AL9" i="3"/>
  <c r="AI10" i="3"/>
  <c r="AJ10" i="3"/>
  <c r="AL10" i="3"/>
  <c r="AI11" i="3"/>
  <c r="AJ11" i="3"/>
  <c r="AL11" i="3"/>
  <c r="AI12" i="3"/>
  <c r="AJ12" i="3"/>
  <c r="AL12" i="3"/>
  <c r="AI13" i="3"/>
  <c r="AJ13" i="3"/>
  <c r="AL13" i="3"/>
  <c r="AI14" i="3"/>
  <c r="AJ14" i="3"/>
  <c r="AL14" i="3"/>
  <c r="AI15" i="3"/>
  <c r="AJ15" i="3"/>
  <c r="AL15" i="3"/>
  <c r="AL6" i="3"/>
  <c r="AJ6" i="3"/>
  <c r="AI6" i="3"/>
  <c r="F3" i="3"/>
  <c r="D5" i="3" s="1"/>
  <c r="D4" i="3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8" i="1"/>
  <c r="AI8" i="1"/>
  <c r="AJ8" i="1" s="1"/>
  <c r="AK8" i="1" s="1"/>
  <c r="AJ22" i="1"/>
  <c r="AI9" i="1"/>
  <c r="AJ9" i="1" s="1"/>
  <c r="AK9" i="1" s="1"/>
  <c r="AI10" i="1"/>
  <c r="AJ10" i="1" s="1"/>
  <c r="AI11" i="1"/>
  <c r="AJ11" i="1" s="1"/>
  <c r="AI12" i="1"/>
  <c r="AJ12" i="1" s="1"/>
  <c r="AI13" i="1"/>
  <c r="AJ13" i="1" s="1"/>
  <c r="AK13" i="1" s="1"/>
  <c r="AI14" i="1"/>
  <c r="AJ14" i="1" s="1"/>
  <c r="AI15" i="1"/>
  <c r="AI16" i="1"/>
  <c r="AJ16" i="1" s="1"/>
  <c r="AI17" i="1"/>
  <c r="AJ17" i="1" s="1"/>
  <c r="AI18" i="1"/>
  <c r="AJ18" i="1" s="1"/>
  <c r="AI19" i="1"/>
  <c r="AJ19" i="1" s="1"/>
  <c r="AK19" i="1" s="1"/>
  <c r="AI20" i="1"/>
  <c r="AJ20" i="1" s="1"/>
  <c r="AI21" i="1"/>
  <c r="AJ21" i="1" s="1"/>
  <c r="AK21" i="1" s="1"/>
  <c r="AI22" i="1"/>
  <c r="AI23" i="1"/>
  <c r="AJ23" i="1" s="1"/>
  <c r="AK23" i="1" s="1"/>
  <c r="AI24" i="1"/>
  <c r="AJ24" i="1" s="1"/>
  <c r="AI25" i="1"/>
  <c r="AJ25" i="1" s="1"/>
  <c r="AI26" i="1"/>
  <c r="AJ26" i="1" s="1"/>
  <c r="J5" i="1"/>
  <c r="R5" i="1" s="1"/>
  <c r="AM15" i="3" l="1"/>
  <c r="AM6" i="3"/>
  <c r="AM9" i="3"/>
  <c r="AM7" i="3"/>
  <c r="AM16" i="3" s="1"/>
  <c r="AM14" i="3"/>
  <c r="AM12" i="3"/>
  <c r="AM10" i="3"/>
  <c r="AM8" i="3"/>
  <c r="AM13" i="3"/>
  <c r="AM11" i="3"/>
  <c r="S3" i="3"/>
  <c r="E5" i="3" s="1"/>
  <c r="E4" i="3" s="1"/>
  <c r="AK22" i="1"/>
  <c r="AK14" i="1"/>
  <c r="AJ15" i="1"/>
  <c r="AK15" i="1" s="1"/>
  <c r="AK10" i="1"/>
  <c r="AK26" i="1"/>
  <c r="AK18" i="1"/>
  <c r="AK25" i="1"/>
  <c r="AK17" i="1"/>
  <c r="AK24" i="1"/>
  <c r="AK20" i="1"/>
  <c r="AK16" i="1"/>
  <c r="AK12" i="1"/>
  <c r="AK11" i="1"/>
  <c r="F5" i="3" l="1"/>
  <c r="F4" i="3" s="1"/>
  <c r="D7" i="1"/>
  <c r="E7" i="1" s="1"/>
  <c r="G5" i="3" l="1"/>
  <c r="G4" i="3" s="1"/>
  <c r="D6" i="1"/>
  <c r="H5" i="3" l="1"/>
  <c r="H4" i="3" s="1"/>
  <c r="F7" i="1"/>
  <c r="E6" i="1"/>
  <c r="I5" i="3" l="1"/>
  <c r="I4" i="3" s="1"/>
  <c r="G7" i="1"/>
  <c r="F6" i="1"/>
  <c r="J5" i="3" l="1"/>
  <c r="J4" i="3" s="1"/>
  <c r="H7" i="1"/>
  <c r="G6" i="1"/>
  <c r="K5" i="3" l="1"/>
  <c r="K4" i="3" s="1"/>
  <c r="I7" i="1"/>
  <c r="H6" i="1"/>
  <c r="L5" i="3" l="1"/>
  <c r="L4" i="3" s="1"/>
  <c r="J7" i="1"/>
  <c r="I6" i="1"/>
  <c r="M5" i="3" l="1"/>
  <c r="M4" i="3" s="1"/>
  <c r="K7" i="1"/>
  <c r="J6" i="1"/>
  <c r="N5" i="3" l="1"/>
  <c r="N4" i="3" s="1"/>
  <c r="L7" i="1"/>
  <c r="K6" i="1"/>
  <c r="O5" i="3" l="1"/>
  <c r="O4" i="3" s="1"/>
  <c r="M7" i="1"/>
  <c r="L6" i="1"/>
  <c r="P5" i="3" l="1"/>
  <c r="P4" i="3" s="1"/>
  <c r="N7" i="1"/>
  <c r="M6" i="1"/>
  <c r="Q5" i="3" l="1"/>
  <c r="Q4" i="3" s="1"/>
  <c r="O7" i="1"/>
  <c r="N6" i="1"/>
  <c r="R5" i="3" l="1"/>
  <c r="R4" i="3" s="1"/>
  <c r="P7" i="1"/>
  <c r="O6" i="1"/>
  <c r="S5" i="3" l="1"/>
  <c r="S4" i="3" s="1"/>
  <c r="Q7" i="1"/>
  <c r="P6" i="1"/>
  <c r="T5" i="3" l="1"/>
  <c r="T4" i="3" s="1"/>
  <c r="R7" i="1"/>
  <c r="Q6" i="1"/>
  <c r="U5" i="3" l="1"/>
  <c r="U4" i="3" s="1"/>
  <c r="S7" i="1"/>
  <c r="R6" i="1"/>
  <c r="V5" i="3" l="1"/>
  <c r="V4" i="3" s="1"/>
  <c r="T7" i="1"/>
  <c r="S6" i="1"/>
  <c r="W5" i="3" l="1"/>
  <c r="W4" i="3" s="1"/>
  <c r="U7" i="1"/>
  <c r="T6" i="1"/>
  <c r="X5" i="3" l="1"/>
  <c r="X4" i="3" s="1"/>
  <c r="V7" i="1"/>
  <c r="U6" i="1"/>
  <c r="Y5" i="3" l="1"/>
  <c r="Y4" i="3" s="1"/>
  <c r="W7" i="1"/>
  <c r="V6" i="1"/>
  <c r="Z5" i="3" l="1"/>
  <c r="Z4" i="3" s="1"/>
  <c r="W6" i="1"/>
  <c r="X7" i="1"/>
  <c r="AA5" i="3" l="1"/>
  <c r="AA4" i="3" s="1"/>
  <c r="X6" i="1"/>
  <c r="Y7" i="1"/>
  <c r="AB5" i="3" l="1"/>
  <c r="AB4" i="3" s="1"/>
  <c r="Z7" i="1"/>
  <c r="Y6" i="1"/>
  <c r="AC5" i="3" l="1"/>
  <c r="AC4" i="3" s="1"/>
  <c r="AA7" i="1"/>
  <c r="Z6" i="1"/>
  <c r="AD5" i="3" l="1"/>
  <c r="AD4" i="3" s="1"/>
  <c r="AA6" i="1"/>
  <c r="AB7" i="1"/>
  <c r="AE5" i="3" l="1"/>
  <c r="AE4" i="3" s="1"/>
  <c r="AB6" i="1"/>
  <c r="AC7" i="1"/>
  <c r="AF5" i="3" l="1"/>
  <c r="AF4" i="3" s="1"/>
  <c r="AC6" i="1"/>
  <c r="AD7" i="1"/>
  <c r="AG5" i="3" l="1"/>
  <c r="AG4" i="3" s="1"/>
  <c r="AD6" i="1"/>
  <c r="AE7" i="1"/>
  <c r="AH5" i="3" l="1"/>
  <c r="AH4" i="3" s="1"/>
  <c r="AF7" i="1"/>
  <c r="AG7" i="1" s="1"/>
  <c r="AE6" i="1"/>
  <c r="AH7" i="1" l="1"/>
  <c r="AH6" i="1" s="1"/>
  <c r="AG6" i="1"/>
  <c r="AF6" i="1"/>
</calcChain>
</file>

<file path=xl/sharedStrings.xml><?xml version="1.0" encoding="utf-8"?>
<sst xmlns="http://schemas.openxmlformats.org/spreadsheetml/2006/main" count="1018" uniqueCount="87">
  <si>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</si>
  <si>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</si>
  <si>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</si>
  <si>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</si>
  <si>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</si>
  <si>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</si>
  <si>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</si>
  <si>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</si>
  <si>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</si>
  <si>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</si>
  <si>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</si>
  <si>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</si>
  <si>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emp name</t>
  </si>
  <si>
    <t>degi</t>
  </si>
  <si>
    <t>to</t>
  </si>
  <si>
    <t>supervisor</t>
  </si>
  <si>
    <t>deo</t>
  </si>
  <si>
    <t>operator</t>
  </si>
  <si>
    <t>Month</t>
  </si>
  <si>
    <t>A</t>
  </si>
  <si>
    <t>PRESENT</t>
  </si>
  <si>
    <t>P</t>
  </si>
  <si>
    <t>ABSENT</t>
  </si>
  <si>
    <t>WEAK OFF</t>
  </si>
  <si>
    <t>W/O</t>
  </si>
  <si>
    <t>LEAVE</t>
  </si>
  <si>
    <t>L</t>
  </si>
  <si>
    <t>AUTOMATIC ATTENDENCE SHEET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</si>
  <si>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</si>
  <si>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</si>
  <si>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</si>
  <si>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</si>
  <si>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</si>
  <si>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</si>
  <si>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</si>
  <si>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</si>
  <si>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</si>
  <si>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</si>
  <si>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</si>
  <si>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</si>
  <si>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</si>
  <si>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SR.NO</t>
  </si>
  <si>
    <t>NAME</t>
  </si>
  <si>
    <t>POST</t>
  </si>
  <si>
    <t>YASH</t>
  </si>
  <si>
    <t>MOHIT</t>
  </si>
  <si>
    <t>AKASH</t>
  </si>
  <si>
    <t>RITESH</t>
  </si>
  <si>
    <t>RINKU</t>
  </si>
  <si>
    <t>NAVEEN</t>
  </si>
  <si>
    <t>NITESH</t>
  </si>
  <si>
    <t>LOKESH</t>
  </si>
  <si>
    <t>AMAN</t>
  </si>
  <si>
    <t>DIRECTOR</t>
  </si>
  <si>
    <t>SUPERVISOR</t>
  </si>
  <si>
    <t>HR</t>
  </si>
  <si>
    <t>DEO</t>
  </si>
  <si>
    <t>TO</t>
  </si>
  <si>
    <t>TOTAL ATTENDENCE</t>
  </si>
  <si>
    <t>H</t>
  </si>
  <si>
    <t>YASH EMPLOYEE</t>
  </si>
  <si>
    <t>HOLIDAY</t>
  </si>
  <si>
    <t>TOTAL SUM</t>
  </si>
  <si>
    <t xml:space="preserve">sr.no. </t>
  </si>
  <si>
    <t>date</t>
  </si>
  <si>
    <t>day</t>
  </si>
  <si>
    <t>month</t>
  </si>
  <si>
    <t>year</t>
  </si>
  <si>
    <t>Yash</t>
  </si>
  <si>
    <t>Mohit</t>
  </si>
  <si>
    <t>Abhishek</t>
  </si>
  <si>
    <t>Tarun</t>
  </si>
  <si>
    <t>Piyush</t>
  </si>
  <si>
    <t>Amarjeet</t>
  </si>
  <si>
    <t>Akash</t>
  </si>
  <si>
    <t>Amardas</t>
  </si>
  <si>
    <t>Ashutosh</t>
  </si>
  <si>
    <t>Amit</t>
  </si>
  <si>
    <t>Ritesh</t>
  </si>
  <si>
    <t>Anurag</t>
  </si>
  <si>
    <t>Krish</t>
  </si>
  <si>
    <t>Shivam</t>
  </si>
  <si>
    <t>Srusti</t>
  </si>
  <si>
    <t>Hamla</t>
  </si>
  <si>
    <t>Kishan</t>
  </si>
  <si>
    <t>Lalit</t>
  </si>
  <si>
    <t>Ovan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</si>
</sst>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"/>
    <numFmt numFmtId="165" formatCode="mmm/dd"/>
    <numFmt numFmtId="166" formatCode="ddd"/>
    <numFmt numFmtId="167" formatCode="dddd"/>
    <numFmt numFmtId="168" formatCode="mmmm"/>
    <numFmt numFmtId="169" formatCode="yyyy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60"/>
      <color theme="1"/>
      <name val="Arial Rounded MT Bold"/>
      <family val="2"/>
    </font>
    <font>
      <b/>
      <sz val="4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166" fontId="2" fillId="0" borderId="1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9" fillId="0" borderId="0" xfId="0" applyFont="1"/>
    <xf numFmtId="14" fontId="0" fillId="0" borderId="8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4" fontId="2" fillId="7" borderId="6" xfId="0" applyNumberFormat="1" applyFont="1" applyFill="1" applyBorder="1" applyAlignment="1">
      <alignment horizontal="center" vertical="center"/>
    </xf>
    <xf numFmtId="17" fontId="8" fillId="7" borderId="6" xfId="0" applyNumberFormat="1" applyFont="1" applyFill="1" applyBorder="1" applyAlignment="1">
      <alignment horizontal="center" vertical="center"/>
    </xf>
    <xf numFmtId="17" fontId="8" fillId="7" borderId="7" xfId="0" applyNumberFormat="1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8" fillId="0" borderId="1" xfId="0" applyFont="1" applyBorder="1"/>
    <xf numFmtId="0" fontId="12" fillId="15" borderId="1" xfId="0" applyFont="1" applyFill="1" applyBorder="1"/>
    <xf numFmtId="0" fontId="13" fillId="15" borderId="1" xfId="0" applyFont="1" applyFill="1" applyBorder="1"/>
    <xf numFmtId="0" fontId="11" fillId="3" borderId="1" xfId="0" applyFont="1" applyFill="1" applyBorder="1"/>
    <xf numFmtId="0" fontId="0" fillId="3" borderId="1" xfId="0" applyFont="1" applyFill="1" applyBorder="1"/>
    <xf numFmtId="164" fontId="8" fillId="13" borderId="1" xfId="0" applyNumberFormat="1" applyFont="1" applyFill="1" applyBorder="1"/>
    <xf numFmtId="164" fontId="8" fillId="6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/>
    <xf numFmtId="164" fontId="8" fillId="6" borderId="9" xfId="0" applyNumberFormat="1" applyFont="1" applyFill="1" applyBorder="1" applyAlignment="1">
      <alignment horizontal="center" vertical="center"/>
    </xf>
    <xf numFmtId="0" fontId="10" fillId="14" borderId="8" xfId="0" applyFont="1" applyFill="1" applyBorder="1"/>
    <xf numFmtId="0" fontId="8" fillId="0" borderId="9" xfId="0" applyFont="1" applyBorder="1"/>
    <xf numFmtId="0" fontId="10" fillId="14" borderId="10" xfId="0" applyFont="1" applyFill="1" applyBorder="1"/>
    <xf numFmtId="0" fontId="10" fillId="14" borderId="11" xfId="0" applyFont="1" applyFill="1" applyBorder="1"/>
    <xf numFmtId="0" fontId="8" fillId="0" borderId="11" xfId="0" applyFont="1" applyBorder="1"/>
    <xf numFmtId="0" fontId="8" fillId="0" borderId="20" xfId="0" applyFont="1" applyBorder="1"/>
    <xf numFmtId="0" fontId="4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3" fillId="12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" fontId="5" fillId="12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5" fontId="8" fillId="13" borderId="1" xfId="0" applyNumberFormat="1" applyFont="1" applyFill="1" applyBorder="1"/>
    <xf numFmtId="0" fontId="6" fillId="10" borderId="19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3" fillId="11" borderId="8" xfId="0" applyFont="1" applyFill="1" applyBorder="1"/>
    <xf numFmtId="0" fontId="0" fillId="12" borderId="9" xfId="0" applyFill="1" applyBorder="1" applyAlignment="1">
      <alignment horizontal="center"/>
    </xf>
    <xf numFmtId="0" fontId="3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94BC-A79E-42F6-AD62-63D2048DA127}">
  <sheetPr>
    <tabColor rgb="FF92D050"/>
  </sheetPr>
  <dimension ref="A1:AL104"/>
  <sheetViews>
    <sheetView tabSelected="1" zoomScale="102" zoomScaleNormal="102" workbookViewId="0">
      <selection activeCell="J11" sqref="J11"/>
    </sheetView>
  </sheetViews>
  <sheetFormatPr defaultRowHeight="14.4" x14ac:dyDescent="0.3"/>
  <cols>
    <col min="1" max="1" width="14.21875" bestFit="1" customWidth="1"/>
    <col min="2" max="2" width="21.5546875" bestFit="1" customWidth="1"/>
    <col min="3" max="3" width="12.5546875" bestFit="1" customWidth="1"/>
    <col min="4" max="4" width="6.109375" bestFit="1" customWidth="1"/>
    <col min="5" max="5" width="7" bestFit="1" customWidth="1"/>
    <col min="6" max="6" width="8.109375" customWidth="1"/>
    <col min="7" max="9" width="6.109375" bestFit="1" customWidth="1"/>
    <col min="10" max="10" width="7.109375" bestFit="1" customWidth="1"/>
    <col min="11" max="11" width="6.109375" bestFit="1" customWidth="1"/>
    <col min="12" max="12" width="7" bestFit="1" customWidth="1"/>
    <col min="13" max="13" width="5.77734375" bestFit="1" customWidth="1"/>
    <col min="14" max="16" width="6.109375" bestFit="1" customWidth="1"/>
    <col min="17" max="17" width="7.109375" bestFit="1" customWidth="1"/>
    <col min="18" max="18" width="6.109375" bestFit="1" customWidth="1"/>
    <col min="19" max="19" width="7" bestFit="1" customWidth="1"/>
    <col min="20" max="20" width="7.77734375" customWidth="1"/>
    <col min="21" max="23" width="6.109375" bestFit="1" customWidth="1"/>
    <col min="24" max="24" width="6.5546875" customWidth="1"/>
    <col min="25" max="25" width="6.109375" bestFit="1" customWidth="1"/>
    <col min="26" max="26" width="6.33203125" customWidth="1"/>
    <col min="27" max="27" width="8.21875" customWidth="1"/>
    <col min="28" max="30" width="6.109375" bestFit="1" customWidth="1"/>
    <col min="31" max="31" width="7.109375" bestFit="1" customWidth="1"/>
    <col min="32" max="32" width="6.109375" bestFit="1" customWidth="1"/>
    <col min="33" max="33" width="7" bestFit="1" customWidth="1"/>
    <col min="34" max="34" width="8.88671875" customWidth="1"/>
    <col min="35" max="35" width="12" customWidth="1"/>
    <col min="36" max="36" width="13.44140625" customWidth="1"/>
    <col min="37" max="37" width="13" customWidth="1"/>
  </cols>
  <sheetData>
    <row r="1" spans="1:38" ht="15" thickBot="1" x14ac:dyDescent="0.35"/>
    <row r="2" spans="1:38" ht="85.8" customHeight="1" x14ac:dyDescent="0.3">
      <c r="A2" s="67" t="s">
        <v>27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</row>
    <row r="3" spans="1:38" hidden="1" x14ac:dyDescent="0.3">
      <c r="A3" s="7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71"/>
    </row>
    <row r="4" spans="1:38" ht="4.2" hidden="1" customHeight="1" x14ac:dyDescent="0.3">
      <c r="A4" s="7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71"/>
    </row>
    <row r="5" spans="1:38" ht="43.8" customHeight="1" x14ac:dyDescent="0.85">
      <c r="A5" s="72" t="s">
        <v>18</v>
      </c>
      <c r="B5" s="60" t="s">
        <v>8</v>
      </c>
      <c r="C5" s="60"/>
      <c r="D5" s="61"/>
      <c r="E5" s="61"/>
      <c r="F5" s="61"/>
      <c r="G5" s="61"/>
      <c r="H5" s="61"/>
      <c r="I5" s="61"/>
      <c r="J5" s="62">
        <f>DATEVALUE("1"&amp;B5&amp;"2026")</f>
        <v>46266</v>
      </c>
      <c r="K5" s="62"/>
      <c r="L5" s="62"/>
      <c r="M5" s="62"/>
      <c r="N5" s="62"/>
      <c r="O5" s="62"/>
      <c r="P5" s="63" t="s">
        <v>14</v>
      </c>
      <c r="Q5" s="63"/>
      <c r="R5" s="62">
        <f>EOMONTH(J5,0)</f>
        <v>46295</v>
      </c>
      <c r="S5" s="62"/>
      <c r="T5" s="62"/>
      <c r="U5" s="62"/>
      <c r="V5" s="62"/>
      <c r="W5" s="62"/>
      <c r="X5" s="62"/>
      <c r="Y5" s="62"/>
      <c r="Z5" s="64">
        <v>2026</v>
      </c>
      <c r="AA5" s="64"/>
      <c r="AB5" s="64"/>
      <c r="AC5" s="64"/>
      <c r="AD5" s="64"/>
      <c r="AE5" s="64"/>
      <c r="AF5" s="64"/>
      <c r="AG5" s="64"/>
      <c r="AH5" s="64"/>
      <c r="AI5" s="61"/>
      <c r="AJ5" s="61"/>
      <c r="AK5" s="61"/>
      <c r="AL5" s="73"/>
    </row>
    <row r="6" spans="1:38" ht="18" customHeight="1" x14ac:dyDescent="0.4">
      <c r="A6" s="74" t="s">
        <v>63</v>
      </c>
      <c r="B6" s="65" t="s">
        <v>12</v>
      </c>
      <c r="C6" s="65" t="s">
        <v>13</v>
      </c>
      <c r="D6" s="50" t="str">
        <f>TEXT(D7,"ddd")</f>
        <v>Tue</v>
      </c>
      <c r="E6" s="50" t="str">
        <f t="shared" ref="E6:W6" si="0">TEXT(E7,"ddd")</f>
        <v>Wed</v>
      </c>
      <c r="F6" s="50" t="str">
        <f t="shared" si="0"/>
        <v>Thu</v>
      </c>
      <c r="G6" s="50" t="str">
        <f t="shared" si="0"/>
        <v>Fri</v>
      </c>
      <c r="H6" s="50" t="str">
        <f t="shared" si="0"/>
        <v>Sat</v>
      </c>
      <c r="I6" s="50" t="str">
        <f t="shared" si="0"/>
        <v>Sun</v>
      </c>
      <c r="J6" s="50" t="str">
        <f t="shared" si="0"/>
        <v>Mon</v>
      </c>
      <c r="K6" s="50" t="str">
        <f t="shared" si="0"/>
        <v>Tue</v>
      </c>
      <c r="L6" s="50" t="str">
        <f t="shared" si="0"/>
        <v>Wed</v>
      </c>
      <c r="M6" s="50" t="str">
        <f t="shared" si="0"/>
        <v>Thu</v>
      </c>
      <c r="N6" s="50" t="str">
        <f t="shared" si="0"/>
        <v>Fri</v>
      </c>
      <c r="O6" s="50" t="str">
        <f t="shared" si="0"/>
        <v>Sat</v>
      </c>
      <c r="P6" s="50" t="str">
        <f t="shared" si="0"/>
        <v>Sun</v>
      </c>
      <c r="Q6" s="50" t="str">
        <f t="shared" si="0"/>
        <v>Mon</v>
      </c>
      <c r="R6" s="50" t="str">
        <f t="shared" si="0"/>
        <v>Tue</v>
      </c>
      <c r="S6" s="50" t="str">
        <f t="shared" si="0"/>
        <v>Wed</v>
      </c>
      <c r="T6" s="50" t="str">
        <f t="shared" si="0"/>
        <v>Thu</v>
      </c>
      <c r="U6" s="50" t="str">
        <f t="shared" si="0"/>
        <v>Fri</v>
      </c>
      <c r="V6" s="50" t="str">
        <f t="shared" si="0"/>
        <v>Sat</v>
      </c>
      <c r="W6" s="50" t="str">
        <f t="shared" si="0"/>
        <v>Sun</v>
      </c>
      <c r="X6" s="50" t="str">
        <f t="shared" ref="X6" si="1">TEXT(X7,"ddd")</f>
        <v>Mon</v>
      </c>
      <c r="Y6" s="50" t="str">
        <f t="shared" ref="Y6" si="2">TEXT(Y7,"ddd")</f>
        <v>Tue</v>
      </c>
      <c r="Z6" s="66" t="str">
        <f t="shared" ref="Z6" si="3">TEXT(Z7,"ddd")</f>
        <v>Wed</v>
      </c>
      <c r="AA6" s="50" t="str">
        <f t="shared" ref="AA6" si="4">TEXT(AA7,"ddd")</f>
        <v>Thu</v>
      </c>
      <c r="AB6" s="50" t="str">
        <f t="shared" ref="AB6" si="5">TEXT(AB7,"ddd")</f>
        <v>Fri</v>
      </c>
      <c r="AC6" s="50" t="str">
        <f t="shared" ref="AC6" si="6">TEXT(AC7,"ddd")</f>
        <v>Sat</v>
      </c>
      <c r="AD6" s="50" t="str">
        <f t="shared" ref="AD6" si="7">TEXT(AD7,"ddd")</f>
        <v>Sun</v>
      </c>
      <c r="AE6" s="50" t="str">
        <f t="shared" ref="AE6" si="8">TEXT(AE7,"ddd")</f>
        <v>Mon</v>
      </c>
      <c r="AF6" s="50" t="str">
        <f t="shared" ref="AF6" si="9">TEXT(AF7,"ddd")</f>
        <v>Tue</v>
      </c>
      <c r="AG6" s="50" t="str">
        <f t="shared" ref="AG6" si="10">TEXT(AG7,"ddd")</f>
        <v>Wed</v>
      </c>
      <c r="AH6" s="50" t="str">
        <f t="shared" ref="AH6" si="11">TEXT(AH7,"ddd")</f>
        <v/>
      </c>
      <c r="AI6" s="51" t="s">
        <v>20</v>
      </c>
      <c r="AJ6" s="51" t="s">
        <v>22</v>
      </c>
      <c r="AK6" s="51" t="s">
        <v>23</v>
      </c>
      <c r="AL6" s="53" t="s">
        <v>25</v>
      </c>
    </row>
    <row r="7" spans="1:38" ht="21" x14ac:dyDescent="0.4">
      <c r="A7" s="74"/>
      <c r="B7" s="65"/>
      <c r="C7" s="65"/>
      <c r="D7" s="50">
        <f>J5</f>
        <v>46266</v>
      </c>
      <c r="E7" s="50">
        <f>IF(D7&lt;$R$5,D7+1,"")</f>
        <v>46267</v>
      </c>
      <c r="F7" s="50">
        <f t="shared" ref="F7:AF7" si="12">IF(E7&lt;$R$5,E7+1,"")</f>
        <v>46268</v>
      </c>
      <c r="G7" s="50">
        <f t="shared" si="12"/>
        <v>46269</v>
      </c>
      <c r="H7" s="50">
        <f t="shared" si="12"/>
        <v>46270</v>
      </c>
      <c r="I7" s="50">
        <f t="shared" si="12"/>
        <v>46271</v>
      </c>
      <c r="J7" s="50">
        <f t="shared" si="12"/>
        <v>46272</v>
      </c>
      <c r="K7" s="50">
        <f t="shared" si="12"/>
        <v>46273</v>
      </c>
      <c r="L7" s="50">
        <f t="shared" si="12"/>
        <v>46274</v>
      </c>
      <c r="M7" s="50">
        <f t="shared" si="12"/>
        <v>46275</v>
      </c>
      <c r="N7" s="50">
        <f t="shared" si="12"/>
        <v>46276</v>
      </c>
      <c r="O7" s="50">
        <f t="shared" si="12"/>
        <v>46277</v>
      </c>
      <c r="P7" s="50">
        <f t="shared" si="12"/>
        <v>46278</v>
      </c>
      <c r="Q7" s="50">
        <f t="shared" si="12"/>
        <v>46279</v>
      </c>
      <c r="R7" s="50">
        <f t="shared" si="12"/>
        <v>46280</v>
      </c>
      <c r="S7" s="50">
        <f t="shared" si="12"/>
        <v>46281</v>
      </c>
      <c r="T7" s="50">
        <f t="shared" si="12"/>
        <v>46282</v>
      </c>
      <c r="U7" s="50">
        <f t="shared" si="12"/>
        <v>46283</v>
      </c>
      <c r="V7" s="50">
        <f t="shared" si="12"/>
        <v>46284</v>
      </c>
      <c r="W7" s="50">
        <f t="shared" si="12"/>
        <v>46285</v>
      </c>
      <c r="X7" s="50">
        <f t="shared" si="12"/>
        <v>46286</v>
      </c>
      <c r="Y7" s="50">
        <f t="shared" si="12"/>
        <v>46287</v>
      </c>
      <c r="Z7" s="50">
        <f t="shared" si="12"/>
        <v>46288</v>
      </c>
      <c r="AA7" s="50">
        <f t="shared" si="12"/>
        <v>46289</v>
      </c>
      <c r="AB7" s="50">
        <f t="shared" si="12"/>
        <v>46290</v>
      </c>
      <c r="AC7" s="50">
        <f t="shared" si="12"/>
        <v>46291</v>
      </c>
      <c r="AD7" s="50">
        <f t="shared" si="12"/>
        <v>46292</v>
      </c>
      <c r="AE7" s="50">
        <f t="shared" si="12"/>
        <v>46293</v>
      </c>
      <c r="AF7" s="50">
        <f t="shared" si="12"/>
        <v>46294</v>
      </c>
      <c r="AG7" s="50">
        <f t="shared" ref="AG7:AH7" si="13">IF(AF7&lt;$R$5,AF7+1,"")</f>
        <v>46295</v>
      </c>
      <c r="AH7" s="50" t="str">
        <f t="shared" si="13"/>
        <v/>
      </c>
      <c r="AI7" s="51"/>
      <c r="AJ7" s="51"/>
      <c r="AK7" s="51"/>
      <c r="AL7" s="53"/>
    </row>
    <row r="8" spans="1:38" ht="23.4" x14ac:dyDescent="0.45">
      <c r="A8" s="54">
        <v>1</v>
      </c>
      <c r="B8" s="52" t="s">
        <v>68</v>
      </c>
      <c r="C8" s="52" t="s">
        <v>15</v>
      </c>
      <c r="D8" s="45" t="s">
        <v>21</v>
      </c>
      <c r="E8" s="45" t="s">
        <v>21</v>
      </c>
      <c r="F8" s="45" t="s">
        <v>21</v>
      </c>
      <c r="G8" s="45" t="s">
        <v>21</v>
      </c>
      <c r="H8" s="45" t="s">
        <v>21</v>
      </c>
      <c r="I8" s="45" t="s">
        <v>21</v>
      </c>
      <c r="J8" s="45" t="s">
        <v>21</v>
      </c>
      <c r="K8" s="45" t="s">
        <v>21</v>
      </c>
      <c r="L8" s="45" t="s">
        <v>21</v>
      </c>
      <c r="M8" s="45" t="s">
        <v>21</v>
      </c>
      <c r="N8" s="45" t="s">
        <v>21</v>
      </c>
      <c r="O8" s="45" t="s">
        <v>21</v>
      </c>
      <c r="P8" s="45" t="s">
        <v>21</v>
      </c>
      <c r="Q8" s="45" t="s">
        <v>21</v>
      </c>
      <c r="R8" s="45" t="s">
        <v>21</v>
      </c>
      <c r="S8" s="45" t="s">
        <v>21</v>
      </c>
      <c r="T8" s="45" t="s">
        <v>21</v>
      </c>
      <c r="U8" s="45" t="s">
        <v>21</v>
      </c>
      <c r="V8" s="45" t="s">
        <v>21</v>
      </c>
      <c r="W8" s="45" t="s">
        <v>21</v>
      </c>
      <c r="X8" s="45" t="s">
        <v>21</v>
      </c>
      <c r="Y8" s="45" t="s">
        <v>21</v>
      </c>
      <c r="Z8" s="45" t="s">
        <v>21</v>
      </c>
      <c r="AA8" s="45" t="s">
        <v>21</v>
      </c>
      <c r="AB8" s="45" t="s">
        <v>21</v>
      </c>
      <c r="AC8" s="45" t="s">
        <v>21</v>
      </c>
      <c r="AD8" s="45" t="s">
        <v>21</v>
      </c>
      <c r="AE8" s="45" t="s">
        <v>21</v>
      </c>
      <c r="AF8" s="45" t="s">
        <v>21</v>
      </c>
      <c r="AG8" s="45" t="s">
        <v>21</v>
      </c>
      <c r="AH8" s="45" t="s">
        <v>21</v>
      </c>
      <c r="AI8" s="45">
        <f>COUNTIF(D8:AH8,"P")</f>
        <v>31</v>
      </c>
      <c r="AJ8" s="45">
        <f t="shared" ref="AJ8:AK23" si="14">COUNTIF(E8:AI8,"P")</f>
        <v>30</v>
      </c>
      <c r="AK8" s="45">
        <f t="shared" si="14"/>
        <v>29</v>
      </c>
      <c r="AL8" s="55">
        <f>COUNTIF(D8:AH8,"L")</f>
        <v>0</v>
      </c>
    </row>
    <row r="9" spans="1:38" ht="23.4" x14ac:dyDescent="0.45">
      <c r="A9" s="54">
        <v>2</v>
      </c>
      <c r="B9" s="52" t="s">
        <v>69</v>
      </c>
      <c r="C9" s="52" t="s">
        <v>16</v>
      </c>
      <c r="D9" s="45" t="s">
        <v>21</v>
      </c>
      <c r="E9" s="45" t="s">
        <v>21</v>
      </c>
      <c r="F9" s="45" t="s">
        <v>21</v>
      </c>
      <c r="G9" s="45" t="s">
        <v>21</v>
      </c>
      <c r="H9" s="45" t="s">
        <v>21</v>
      </c>
      <c r="I9" s="45" t="s">
        <v>21</v>
      </c>
      <c r="J9" s="45" t="s">
        <v>21</v>
      </c>
      <c r="K9" s="45" t="s">
        <v>21</v>
      </c>
      <c r="L9" s="45" t="s">
        <v>21</v>
      </c>
      <c r="M9" s="45" t="s">
        <v>21</v>
      </c>
      <c r="N9" s="45" t="s">
        <v>21</v>
      </c>
      <c r="O9" s="45" t="s">
        <v>21</v>
      </c>
      <c r="P9" s="45" t="s">
        <v>21</v>
      </c>
      <c r="Q9" s="45" t="s">
        <v>21</v>
      </c>
      <c r="R9" s="45" t="s">
        <v>21</v>
      </c>
      <c r="S9" s="45" t="s">
        <v>21</v>
      </c>
      <c r="T9" s="45" t="s">
        <v>21</v>
      </c>
      <c r="U9" s="45" t="s">
        <v>21</v>
      </c>
      <c r="V9" s="45" t="s">
        <v>21</v>
      </c>
      <c r="W9" s="45" t="s">
        <v>21</v>
      </c>
      <c r="X9" s="45" t="s">
        <v>21</v>
      </c>
      <c r="Y9" s="45" t="s">
        <v>21</v>
      </c>
      <c r="Z9" s="45" t="s">
        <v>21</v>
      </c>
      <c r="AA9" s="45" t="s">
        <v>21</v>
      </c>
      <c r="AB9" s="45" t="s">
        <v>21</v>
      </c>
      <c r="AC9" s="45" t="s">
        <v>21</v>
      </c>
      <c r="AD9" s="45" t="s">
        <v>21</v>
      </c>
      <c r="AE9" s="45" t="s">
        <v>21</v>
      </c>
      <c r="AF9" s="45" t="s">
        <v>21</v>
      </c>
      <c r="AG9" s="45" t="s">
        <v>21</v>
      </c>
      <c r="AH9" s="45" t="s">
        <v>21</v>
      </c>
      <c r="AI9" s="45">
        <f t="shared" ref="AI9:AI26" si="15">COUNTIF(D9:AH9,"P")</f>
        <v>31</v>
      </c>
      <c r="AJ9" s="45">
        <f t="shared" si="14"/>
        <v>30</v>
      </c>
      <c r="AK9" s="45">
        <f t="shared" si="14"/>
        <v>29</v>
      </c>
      <c r="AL9" s="55">
        <f t="shared" ref="AL9:AL26" si="16">COUNTIF(D9:AH9,"L")</f>
        <v>0</v>
      </c>
    </row>
    <row r="10" spans="1:38" ht="23.4" x14ac:dyDescent="0.45">
      <c r="A10" s="54">
        <v>3</v>
      </c>
      <c r="B10" s="52" t="s">
        <v>70</v>
      </c>
      <c r="C10" s="52" t="s">
        <v>17</v>
      </c>
      <c r="D10" s="45" t="s">
        <v>21</v>
      </c>
      <c r="E10" s="45" t="s">
        <v>21</v>
      </c>
      <c r="F10" s="45" t="s">
        <v>21</v>
      </c>
      <c r="G10" s="45" t="s">
        <v>21</v>
      </c>
      <c r="H10" s="45" t="s">
        <v>21</v>
      </c>
      <c r="I10" s="45" t="s">
        <v>21</v>
      </c>
      <c r="J10" s="45" t="s">
        <v>21</v>
      </c>
      <c r="K10" s="45" t="s">
        <v>21</v>
      </c>
      <c r="L10" s="45" t="s">
        <v>21</v>
      </c>
      <c r="M10" s="45" t="s">
        <v>21</v>
      </c>
      <c r="N10" s="45" t="s">
        <v>21</v>
      </c>
      <c r="O10" s="45" t="s">
        <v>21</v>
      </c>
      <c r="P10" s="45" t="s">
        <v>21</v>
      </c>
      <c r="Q10" s="45" t="s">
        <v>21</v>
      </c>
      <c r="R10" s="45" t="s">
        <v>21</v>
      </c>
      <c r="S10" s="45" t="s">
        <v>21</v>
      </c>
      <c r="T10" s="45" t="s">
        <v>21</v>
      </c>
      <c r="U10" s="45" t="s">
        <v>21</v>
      </c>
      <c r="V10" s="45" t="s">
        <v>21</v>
      </c>
      <c r="W10" s="45" t="s">
        <v>21</v>
      </c>
      <c r="X10" s="45" t="s">
        <v>21</v>
      </c>
      <c r="Y10" s="45" t="s">
        <v>21</v>
      </c>
      <c r="Z10" s="45" t="s">
        <v>21</v>
      </c>
      <c r="AA10" s="45" t="s">
        <v>21</v>
      </c>
      <c r="AB10" s="45" t="s">
        <v>21</v>
      </c>
      <c r="AC10" s="45" t="s">
        <v>21</v>
      </c>
      <c r="AD10" s="45" t="s">
        <v>21</v>
      </c>
      <c r="AE10" s="45" t="s">
        <v>21</v>
      </c>
      <c r="AF10" s="45" t="s">
        <v>21</v>
      </c>
      <c r="AG10" s="45" t="s">
        <v>21</v>
      </c>
      <c r="AH10" s="45" t="s">
        <v>21</v>
      </c>
      <c r="AI10" s="45">
        <f t="shared" si="15"/>
        <v>31</v>
      </c>
      <c r="AJ10" s="45">
        <f t="shared" si="14"/>
        <v>30</v>
      </c>
      <c r="AK10" s="45">
        <f t="shared" si="14"/>
        <v>29</v>
      </c>
      <c r="AL10" s="55">
        <f t="shared" si="16"/>
        <v>0</v>
      </c>
    </row>
    <row r="11" spans="1:38" ht="23.4" x14ac:dyDescent="0.45">
      <c r="A11" s="54">
        <v>4</v>
      </c>
      <c r="B11" s="52" t="s">
        <v>71</v>
      </c>
      <c r="C11" s="52" t="s">
        <v>17</v>
      </c>
      <c r="D11" s="45" t="s">
        <v>21</v>
      </c>
      <c r="E11" s="45" t="s">
        <v>21</v>
      </c>
      <c r="F11" s="45" t="s">
        <v>21</v>
      </c>
      <c r="G11" s="45" t="s">
        <v>21</v>
      </c>
      <c r="H11" s="45" t="s">
        <v>21</v>
      </c>
      <c r="I11" s="45" t="s">
        <v>21</v>
      </c>
      <c r="J11" s="45" t="s">
        <v>21</v>
      </c>
      <c r="K11" s="45" t="s">
        <v>21</v>
      </c>
      <c r="L11" s="45" t="s">
        <v>21</v>
      </c>
      <c r="M11" s="45" t="s">
        <v>21</v>
      </c>
      <c r="N11" s="45" t="s">
        <v>21</v>
      </c>
      <c r="O11" s="45" t="s">
        <v>21</v>
      </c>
      <c r="P11" s="45" t="s">
        <v>21</v>
      </c>
      <c r="Q11" s="45" t="s">
        <v>21</v>
      </c>
      <c r="R11" s="45" t="s">
        <v>21</v>
      </c>
      <c r="S11" s="45" t="s">
        <v>21</v>
      </c>
      <c r="T11" s="45" t="s">
        <v>21</v>
      </c>
      <c r="U11" s="45" t="s">
        <v>21</v>
      </c>
      <c r="V11" s="45" t="s">
        <v>21</v>
      </c>
      <c r="W11" s="45" t="s">
        <v>21</v>
      </c>
      <c r="X11" s="45" t="s">
        <v>21</v>
      </c>
      <c r="Y11" s="45" t="s">
        <v>21</v>
      </c>
      <c r="Z11" s="45" t="s">
        <v>21</v>
      </c>
      <c r="AA11" s="45" t="s">
        <v>21</v>
      </c>
      <c r="AB11" s="45" t="s">
        <v>21</v>
      </c>
      <c r="AC11" s="45" t="s">
        <v>21</v>
      </c>
      <c r="AD11" s="45" t="s">
        <v>21</v>
      </c>
      <c r="AE11" s="45" t="s">
        <v>21</v>
      </c>
      <c r="AF11" s="45" t="s">
        <v>21</v>
      </c>
      <c r="AG11" s="45" t="s">
        <v>21</v>
      </c>
      <c r="AH11" s="45" t="s">
        <v>21</v>
      </c>
      <c r="AI11" s="45">
        <f t="shared" si="15"/>
        <v>31</v>
      </c>
      <c r="AJ11" s="45">
        <f t="shared" si="14"/>
        <v>30</v>
      </c>
      <c r="AK11" s="45">
        <f t="shared" si="14"/>
        <v>29</v>
      </c>
      <c r="AL11" s="55">
        <f t="shared" si="16"/>
        <v>0</v>
      </c>
    </row>
    <row r="12" spans="1:38" ht="23.4" x14ac:dyDescent="0.45">
      <c r="A12" s="54">
        <v>5</v>
      </c>
      <c r="B12" s="52" t="s">
        <v>72</v>
      </c>
      <c r="C12" s="52" t="s">
        <v>17</v>
      </c>
      <c r="D12" s="45" t="s">
        <v>21</v>
      </c>
      <c r="E12" s="45" t="s">
        <v>21</v>
      </c>
      <c r="F12" s="45" t="s">
        <v>21</v>
      </c>
      <c r="G12" s="45" t="s">
        <v>21</v>
      </c>
      <c r="H12" s="45" t="s">
        <v>21</v>
      </c>
      <c r="I12" s="45" t="s">
        <v>21</v>
      </c>
      <c r="J12" s="45" t="s">
        <v>21</v>
      </c>
      <c r="K12" s="45" t="s">
        <v>21</v>
      </c>
      <c r="L12" s="45" t="s">
        <v>21</v>
      </c>
      <c r="M12" s="45" t="s">
        <v>21</v>
      </c>
      <c r="N12" s="45" t="s">
        <v>21</v>
      </c>
      <c r="O12" s="45" t="s">
        <v>21</v>
      </c>
      <c r="P12" s="45" t="s">
        <v>21</v>
      </c>
      <c r="Q12" s="45" t="s">
        <v>21</v>
      </c>
      <c r="R12" s="45" t="s">
        <v>21</v>
      </c>
      <c r="S12" s="45" t="s">
        <v>21</v>
      </c>
      <c r="T12" s="45" t="s">
        <v>21</v>
      </c>
      <c r="U12" s="45" t="s">
        <v>21</v>
      </c>
      <c r="V12" s="45" t="s">
        <v>21</v>
      </c>
      <c r="W12" s="45" t="s">
        <v>21</v>
      </c>
      <c r="X12" s="45" t="s">
        <v>21</v>
      </c>
      <c r="Y12" s="45" t="s">
        <v>21</v>
      </c>
      <c r="Z12" s="45" t="s">
        <v>21</v>
      </c>
      <c r="AA12" s="45" t="s">
        <v>21</v>
      </c>
      <c r="AB12" s="45" t="s">
        <v>21</v>
      </c>
      <c r="AC12" s="45" t="s">
        <v>21</v>
      </c>
      <c r="AD12" s="45" t="s">
        <v>21</v>
      </c>
      <c r="AE12" s="45" t="s">
        <v>21</v>
      </c>
      <c r="AF12" s="45" t="s">
        <v>21</v>
      </c>
      <c r="AG12" s="45" t="s">
        <v>21</v>
      </c>
      <c r="AH12" s="45" t="s">
        <v>21</v>
      </c>
      <c r="AI12" s="45">
        <f t="shared" si="15"/>
        <v>31</v>
      </c>
      <c r="AJ12" s="45">
        <f t="shared" si="14"/>
        <v>30</v>
      </c>
      <c r="AK12" s="45">
        <f t="shared" si="14"/>
        <v>29</v>
      </c>
      <c r="AL12" s="55">
        <f t="shared" si="16"/>
        <v>0</v>
      </c>
    </row>
    <row r="13" spans="1:38" ht="23.4" x14ac:dyDescent="0.45">
      <c r="A13" s="54">
        <v>6</v>
      </c>
      <c r="B13" s="52" t="s">
        <v>73</v>
      </c>
      <c r="C13" s="52" t="s">
        <v>17</v>
      </c>
      <c r="D13" s="45" t="s">
        <v>21</v>
      </c>
      <c r="E13" s="45" t="s">
        <v>21</v>
      </c>
      <c r="F13" s="45" t="s">
        <v>21</v>
      </c>
      <c r="G13" s="45" t="s">
        <v>21</v>
      </c>
      <c r="H13" s="45" t="s">
        <v>21</v>
      </c>
      <c r="I13" s="45" t="s">
        <v>21</v>
      </c>
      <c r="J13" s="45" t="s">
        <v>21</v>
      </c>
      <c r="K13" s="45" t="s">
        <v>21</v>
      </c>
      <c r="L13" s="45" t="s">
        <v>21</v>
      </c>
      <c r="M13" s="45" t="s">
        <v>21</v>
      </c>
      <c r="N13" s="45" t="s">
        <v>21</v>
      </c>
      <c r="O13" s="45" t="s">
        <v>21</v>
      </c>
      <c r="P13" s="45" t="s">
        <v>21</v>
      </c>
      <c r="Q13" s="45" t="s">
        <v>21</v>
      </c>
      <c r="R13" s="45" t="s">
        <v>21</v>
      </c>
      <c r="S13" s="45" t="s">
        <v>21</v>
      </c>
      <c r="T13" s="45" t="s">
        <v>21</v>
      </c>
      <c r="U13" s="45" t="s">
        <v>21</v>
      </c>
      <c r="V13" s="45" t="s">
        <v>21</v>
      </c>
      <c r="W13" s="45" t="s">
        <v>21</v>
      </c>
      <c r="X13" s="45" t="s">
        <v>21</v>
      </c>
      <c r="Y13" s="45" t="s">
        <v>21</v>
      </c>
      <c r="Z13" s="45" t="s">
        <v>21</v>
      </c>
      <c r="AA13" s="45" t="s">
        <v>21</v>
      </c>
      <c r="AB13" s="45" t="s">
        <v>21</v>
      </c>
      <c r="AC13" s="45" t="s">
        <v>21</v>
      </c>
      <c r="AD13" s="45" t="s">
        <v>21</v>
      </c>
      <c r="AE13" s="45" t="s">
        <v>21</v>
      </c>
      <c r="AF13" s="45" t="s">
        <v>21</v>
      </c>
      <c r="AG13" s="45" t="s">
        <v>21</v>
      </c>
      <c r="AH13" s="45" t="s">
        <v>21</v>
      </c>
      <c r="AI13" s="45">
        <f t="shared" si="15"/>
        <v>31</v>
      </c>
      <c r="AJ13" s="45">
        <f t="shared" si="14"/>
        <v>30</v>
      </c>
      <c r="AK13" s="45">
        <f t="shared" si="14"/>
        <v>29</v>
      </c>
      <c r="AL13" s="55">
        <f t="shared" si="16"/>
        <v>0</v>
      </c>
    </row>
    <row r="14" spans="1:38" ht="23.4" x14ac:dyDescent="0.45">
      <c r="A14" s="54">
        <v>7</v>
      </c>
      <c r="B14" s="52" t="s">
        <v>74</v>
      </c>
      <c r="C14" s="52" t="s">
        <v>17</v>
      </c>
      <c r="D14" s="45" t="s">
        <v>21</v>
      </c>
      <c r="E14" s="45" t="s">
        <v>21</v>
      </c>
      <c r="F14" s="45" t="s">
        <v>21</v>
      </c>
      <c r="G14" s="45" t="s">
        <v>21</v>
      </c>
      <c r="H14" s="45" t="s">
        <v>21</v>
      </c>
      <c r="I14" s="45" t="s">
        <v>21</v>
      </c>
      <c r="J14" s="45" t="s">
        <v>21</v>
      </c>
      <c r="K14" s="45" t="s">
        <v>21</v>
      </c>
      <c r="L14" s="45" t="s">
        <v>21</v>
      </c>
      <c r="M14" s="45" t="s">
        <v>21</v>
      </c>
      <c r="N14" s="45" t="s">
        <v>21</v>
      </c>
      <c r="O14" s="45" t="s">
        <v>21</v>
      </c>
      <c r="P14" s="45" t="s">
        <v>21</v>
      </c>
      <c r="Q14" s="45" t="s">
        <v>21</v>
      </c>
      <c r="R14" s="45" t="s">
        <v>21</v>
      </c>
      <c r="S14" s="45" t="s">
        <v>21</v>
      </c>
      <c r="T14" s="45" t="s">
        <v>21</v>
      </c>
      <c r="U14" s="45" t="s">
        <v>21</v>
      </c>
      <c r="V14" s="45" t="s">
        <v>21</v>
      </c>
      <c r="W14" s="45" t="s">
        <v>21</v>
      </c>
      <c r="X14" s="45" t="s">
        <v>21</v>
      </c>
      <c r="Y14" s="45" t="s">
        <v>21</v>
      </c>
      <c r="Z14" s="45" t="s">
        <v>21</v>
      </c>
      <c r="AA14" s="45" t="s">
        <v>21</v>
      </c>
      <c r="AB14" s="45" t="s">
        <v>21</v>
      </c>
      <c r="AC14" s="45" t="s">
        <v>21</v>
      </c>
      <c r="AD14" s="45" t="s">
        <v>21</v>
      </c>
      <c r="AE14" s="45" t="s">
        <v>21</v>
      </c>
      <c r="AF14" s="45" t="s">
        <v>21</v>
      </c>
      <c r="AG14" s="45" t="s">
        <v>21</v>
      </c>
      <c r="AH14" s="45" t="s">
        <v>21</v>
      </c>
      <c r="AI14" s="45">
        <f t="shared" si="15"/>
        <v>31</v>
      </c>
      <c r="AJ14" s="45">
        <f t="shared" si="14"/>
        <v>30</v>
      </c>
      <c r="AK14" s="45">
        <f t="shared" si="14"/>
        <v>29</v>
      </c>
      <c r="AL14" s="55">
        <f t="shared" si="16"/>
        <v>0</v>
      </c>
    </row>
    <row r="15" spans="1:38" ht="23.4" x14ac:dyDescent="0.45">
      <c r="A15" s="54">
        <v>8</v>
      </c>
      <c r="B15" s="52" t="s">
        <v>75</v>
      </c>
      <c r="C15" s="52" t="s">
        <v>17</v>
      </c>
      <c r="D15" s="45" t="s">
        <v>21</v>
      </c>
      <c r="E15" s="45" t="s">
        <v>21</v>
      </c>
      <c r="F15" s="45" t="s">
        <v>21</v>
      </c>
      <c r="G15" s="45" t="s">
        <v>21</v>
      </c>
      <c r="H15" s="45" t="s">
        <v>21</v>
      </c>
      <c r="I15" s="45" t="s">
        <v>21</v>
      </c>
      <c r="J15" s="45" t="s">
        <v>21</v>
      </c>
      <c r="K15" s="45" t="s">
        <v>21</v>
      </c>
      <c r="L15" s="45" t="s">
        <v>21</v>
      </c>
      <c r="M15" s="45" t="s">
        <v>21</v>
      </c>
      <c r="N15" s="45" t="s">
        <v>21</v>
      </c>
      <c r="O15" s="45" t="s">
        <v>21</v>
      </c>
      <c r="P15" s="45" t="s">
        <v>21</v>
      </c>
      <c r="Q15" s="45" t="s">
        <v>21</v>
      </c>
      <c r="R15" s="45" t="s">
        <v>21</v>
      </c>
      <c r="S15" s="45" t="s">
        <v>21</v>
      </c>
      <c r="T15" s="45" t="s">
        <v>21</v>
      </c>
      <c r="U15" s="45" t="s">
        <v>21</v>
      </c>
      <c r="V15" s="45" t="s">
        <v>21</v>
      </c>
      <c r="W15" s="45" t="s">
        <v>21</v>
      </c>
      <c r="X15" s="45" t="s">
        <v>21</v>
      </c>
      <c r="Y15" s="45" t="s">
        <v>21</v>
      </c>
      <c r="Z15" s="45" t="s">
        <v>21</v>
      </c>
      <c r="AA15" s="45" t="s">
        <v>21</v>
      </c>
      <c r="AB15" s="45" t="s">
        <v>21</v>
      </c>
      <c r="AC15" s="45" t="s">
        <v>21</v>
      </c>
      <c r="AD15" s="45" t="s">
        <v>21</v>
      </c>
      <c r="AE15" s="45" t="s">
        <v>21</v>
      </c>
      <c r="AF15" s="45" t="s">
        <v>21</v>
      </c>
      <c r="AG15" s="45" t="s">
        <v>21</v>
      </c>
      <c r="AH15" s="45" t="s">
        <v>21</v>
      </c>
      <c r="AI15" s="45">
        <f t="shared" si="15"/>
        <v>31</v>
      </c>
      <c r="AJ15" s="45">
        <f t="shared" si="14"/>
        <v>30</v>
      </c>
      <c r="AK15" s="45">
        <f t="shared" si="14"/>
        <v>29</v>
      </c>
      <c r="AL15" s="55">
        <f t="shared" si="16"/>
        <v>0</v>
      </c>
    </row>
    <row r="16" spans="1:38" ht="23.4" x14ac:dyDescent="0.45">
      <c r="A16" s="54">
        <v>9</v>
      </c>
      <c r="B16" s="52" t="s">
        <v>76</v>
      </c>
      <c r="C16" s="52" t="s">
        <v>17</v>
      </c>
      <c r="D16" s="45" t="s">
        <v>21</v>
      </c>
      <c r="E16" s="45" t="s">
        <v>21</v>
      </c>
      <c r="F16" s="45" t="s">
        <v>21</v>
      </c>
      <c r="G16" s="45" t="s">
        <v>21</v>
      </c>
      <c r="H16" s="45" t="s">
        <v>21</v>
      </c>
      <c r="I16" s="45" t="s">
        <v>21</v>
      </c>
      <c r="J16" s="45" t="s">
        <v>21</v>
      </c>
      <c r="K16" s="45" t="s">
        <v>21</v>
      </c>
      <c r="L16" s="45" t="s">
        <v>21</v>
      </c>
      <c r="M16" s="45" t="s">
        <v>21</v>
      </c>
      <c r="N16" s="45" t="s">
        <v>21</v>
      </c>
      <c r="O16" s="45" t="s">
        <v>21</v>
      </c>
      <c r="P16" s="45" t="s">
        <v>21</v>
      </c>
      <c r="Q16" s="45" t="s">
        <v>21</v>
      </c>
      <c r="R16" s="45" t="s">
        <v>21</v>
      </c>
      <c r="S16" s="45" t="s">
        <v>21</v>
      </c>
      <c r="T16" s="45" t="s">
        <v>21</v>
      </c>
      <c r="U16" s="45" t="s">
        <v>21</v>
      </c>
      <c r="V16" s="45" t="s">
        <v>21</v>
      </c>
      <c r="W16" s="45" t="s">
        <v>21</v>
      </c>
      <c r="X16" s="45" t="s">
        <v>21</v>
      </c>
      <c r="Y16" s="45" t="s">
        <v>21</v>
      </c>
      <c r="Z16" s="45" t="s">
        <v>21</v>
      </c>
      <c r="AA16" s="45" t="s">
        <v>21</v>
      </c>
      <c r="AB16" s="45" t="s">
        <v>21</v>
      </c>
      <c r="AC16" s="45" t="s">
        <v>21</v>
      </c>
      <c r="AD16" s="45" t="s">
        <v>21</v>
      </c>
      <c r="AE16" s="45" t="s">
        <v>21</v>
      </c>
      <c r="AF16" s="45" t="s">
        <v>21</v>
      </c>
      <c r="AG16" s="45" t="s">
        <v>21</v>
      </c>
      <c r="AH16" s="45" t="s">
        <v>21</v>
      </c>
      <c r="AI16" s="45">
        <f t="shared" si="15"/>
        <v>31</v>
      </c>
      <c r="AJ16" s="45">
        <f t="shared" si="14"/>
        <v>30</v>
      </c>
      <c r="AK16" s="45">
        <f t="shared" si="14"/>
        <v>29</v>
      </c>
      <c r="AL16" s="55">
        <f t="shared" si="16"/>
        <v>0</v>
      </c>
    </row>
    <row r="17" spans="1:38" ht="23.4" x14ac:dyDescent="0.45">
      <c r="A17" s="54">
        <v>10</v>
      </c>
      <c r="B17" s="52" t="s">
        <v>77</v>
      </c>
      <c r="C17" s="52" t="s">
        <v>17</v>
      </c>
      <c r="D17" s="45" t="s">
        <v>21</v>
      </c>
      <c r="E17" s="45" t="s">
        <v>21</v>
      </c>
      <c r="F17" s="45" t="s">
        <v>21</v>
      </c>
      <c r="G17" s="45" t="s">
        <v>21</v>
      </c>
      <c r="H17" s="45" t="s">
        <v>21</v>
      </c>
      <c r="I17" s="45" t="s">
        <v>21</v>
      </c>
      <c r="J17" s="45" t="s">
        <v>21</v>
      </c>
      <c r="K17" s="45" t="s">
        <v>21</v>
      </c>
      <c r="L17" s="45" t="s">
        <v>21</v>
      </c>
      <c r="M17" s="45" t="s">
        <v>21</v>
      </c>
      <c r="N17" s="45" t="s">
        <v>21</v>
      </c>
      <c r="O17" s="45" t="s">
        <v>21</v>
      </c>
      <c r="P17" s="45" t="s">
        <v>21</v>
      </c>
      <c r="Q17" s="45" t="s">
        <v>21</v>
      </c>
      <c r="R17" s="45" t="s">
        <v>21</v>
      </c>
      <c r="S17" s="45" t="s">
        <v>21</v>
      </c>
      <c r="T17" s="45" t="s">
        <v>21</v>
      </c>
      <c r="U17" s="45" t="s">
        <v>21</v>
      </c>
      <c r="V17" s="45" t="s">
        <v>21</v>
      </c>
      <c r="W17" s="45" t="s">
        <v>21</v>
      </c>
      <c r="X17" s="45" t="s">
        <v>21</v>
      </c>
      <c r="Y17" s="45" t="s">
        <v>21</v>
      </c>
      <c r="Z17" s="45" t="s">
        <v>21</v>
      </c>
      <c r="AA17" s="45" t="s">
        <v>21</v>
      </c>
      <c r="AB17" s="45" t="s">
        <v>21</v>
      </c>
      <c r="AC17" s="45" t="s">
        <v>21</v>
      </c>
      <c r="AD17" s="45" t="s">
        <v>21</v>
      </c>
      <c r="AE17" s="45" t="s">
        <v>21</v>
      </c>
      <c r="AF17" s="45" t="s">
        <v>21</v>
      </c>
      <c r="AG17" s="45" t="s">
        <v>21</v>
      </c>
      <c r="AH17" s="45" t="s">
        <v>21</v>
      </c>
      <c r="AI17" s="45">
        <f t="shared" si="15"/>
        <v>31</v>
      </c>
      <c r="AJ17" s="45">
        <f t="shared" si="14"/>
        <v>30</v>
      </c>
      <c r="AK17" s="45">
        <f t="shared" si="14"/>
        <v>29</v>
      </c>
      <c r="AL17" s="55">
        <f t="shared" si="16"/>
        <v>0</v>
      </c>
    </row>
    <row r="18" spans="1:38" ht="23.4" x14ac:dyDescent="0.45">
      <c r="A18" s="54">
        <v>11</v>
      </c>
      <c r="B18" s="52" t="s">
        <v>78</v>
      </c>
      <c r="C18" s="52" t="s">
        <v>17</v>
      </c>
      <c r="D18" s="45" t="s">
        <v>21</v>
      </c>
      <c r="E18" s="45" t="s">
        <v>21</v>
      </c>
      <c r="F18" s="45" t="s">
        <v>21</v>
      </c>
      <c r="G18" s="45" t="s">
        <v>21</v>
      </c>
      <c r="H18" s="45" t="s">
        <v>21</v>
      </c>
      <c r="I18" s="45" t="s">
        <v>21</v>
      </c>
      <c r="J18" s="45" t="s">
        <v>21</v>
      </c>
      <c r="K18" s="45" t="s">
        <v>21</v>
      </c>
      <c r="L18" s="45" t="s">
        <v>21</v>
      </c>
      <c r="M18" s="45" t="s">
        <v>21</v>
      </c>
      <c r="N18" s="45" t="s">
        <v>21</v>
      </c>
      <c r="O18" s="45" t="s">
        <v>21</v>
      </c>
      <c r="P18" s="45" t="s">
        <v>21</v>
      </c>
      <c r="Q18" s="45" t="s">
        <v>21</v>
      </c>
      <c r="R18" s="45" t="s">
        <v>21</v>
      </c>
      <c r="S18" s="45" t="s">
        <v>21</v>
      </c>
      <c r="T18" s="45" t="s">
        <v>21</v>
      </c>
      <c r="U18" s="45" t="s">
        <v>21</v>
      </c>
      <c r="V18" s="45" t="s">
        <v>21</v>
      </c>
      <c r="W18" s="45" t="s">
        <v>21</v>
      </c>
      <c r="X18" s="45" t="s">
        <v>21</v>
      </c>
      <c r="Y18" s="45" t="s">
        <v>21</v>
      </c>
      <c r="Z18" s="45" t="s">
        <v>21</v>
      </c>
      <c r="AA18" s="45" t="s">
        <v>21</v>
      </c>
      <c r="AB18" s="45" t="s">
        <v>21</v>
      </c>
      <c r="AC18" s="45" t="s">
        <v>21</v>
      </c>
      <c r="AD18" s="45" t="s">
        <v>21</v>
      </c>
      <c r="AE18" s="45" t="s">
        <v>21</v>
      </c>
      <c r="AF18" s="45" t="s">
        <v>21</v>
      </c>
      <c r="AG18" s="45" t="s">
        <v>21</v>
      </c>
      <c r="AH18" s="45" t="s">
        <v>21</v>
      </c>
      <c r="AI18" s="45">
        <f t="shared" si="15"/>
        <v>31</v>
      </c>
      <c r="AJ18" s="45">
        <f t="shared" si="14"/>
        <v>30</v>
      </c>
      <c r="AK18" s="45">
        <f t="shared" si="14"/>
        <v>29</v>
      </c>
      <c r="AL18" s="55">
        <f t="shared" si="16"/>
        <v>0</v>
      </c>
    </row>
    <row r="19" spans="1:38" ht="23.4" x14ac:dyDescent="0.45">
      <c r="A19" s="54">
        <v>12</v>
      </c>
      <c r="B19" s="52" t="s">
        <v>79</v>
      </c>
      <c r="C19" s="52" t="s">
        <v>17</v>
      </c>
      <c r="D19" s="45" t="s">
        <v>21</v>
      </c>
      <c r="E19" s="45" t="s">
        <v>21</v>
      </c>
      <c r="F19" s="45" t="s">
        <v>21</v>
      </c>
      <c r="G19" s="45" t="s">
        <v>21</v>
      </c>
      <c r="H19" s="45" t="s">
        <v>21</v>
      </c>
      <c r="I19" s="45" t="s">
        <v>21</v>
      </c>
      <c r="J19" s="45" t="s">
        <v>21</v>
      </c>
      <c r="K19" s="45" t="s">
        <v>21</v>
      </c>
      <c r="L19" s="45" t="s">
        <v>21</v>
      </c>
      <c r="M19" s="45" t="s">
        <v>21</v>
      </c>
      <c r="N19" s="45" t="s">
        <v>21</v>
      </c>
      <c r="O19" s="45" t="s">
        <v>21</v>
      </c>
      <c r="P19" s="45" t="s">
        <v>21</v>
      </c>
      <c r="Q19" s="45" t="s">
        <v>21</v>
      </c>
      <c r="R19" s="45" t="s">
        <v>21</v>
      </c>
      <c r="S19" s="45" t="s">
        <v>21</v>
      </c>
      <c r="T19" s="45" t="s">
        <v>21</v>
      </c>
      <c r="U19" s="45" t="s">
        <v>21</v>
      </c>
      <c r="V19" s="45" t="s">
        <v>21</v>
      </c>
      <c r="W19" s="45" t="s">
        <v>21</v>
      </c>
      <c r="X19" s="45" t="s">
        <v>21</v>
      </c>
      <c r="Y19" s="45" t="s">
        <v>21</v>
      </c>
      <c r="Z19" s="45" t="s">
        <v>21</v>
      </c>
      <c r="AA19" s="45" t="s">
        <v>21</v>
      </c>
      <c r="AB19" s="45" t="s">
        <v>21</v>
      </c>
      <c r="AC19" s="45" t="s">
        <v>21</v>
      </c>
      <c r="AD19" s="45" t="s">
        <v>21</v>
      </c>
      <c r="AE19" s="45" t="s">
        <v>21</v>
      </c>
      <c r="AF19" s="45" t="s">
        <v>21</v>
      </c>
      <c r="AG19" s="45" t="s">
        <v>21</v>
      </c>
      <c r="AH19" s="45" t="s">
        <v>21</v>
      </c>
      <c r="AI19" s="45">
        <f t="shared" si="15"/>
        <v>31</v>
      </c>
      <c r="AJ19" s="45">
        <f t="shared" si="14"/>
        <v>30</v>
      </c>
      <c r="AK19" s="45">
        <f t="shared" si="14"/>
        <v>29</v>
      </c>
      <c r="AL19" s="55">
        <f t="shared" si="16"/>
        <v>0</v>
      </c>
    </row>
    <row r="20" spans="1:38" ht="23.4" x14ac:dyDescent="0.45">
      <c r="A20" s="54">
        <v>13</v>
      </c>
      <c r="B20" s="52" t="s">
        <v>80</v>
      </c>
      <c r="C20" s="52" t="s">
        <v>17</v>
      </c>
      <c r="D20" s="45" t="s">
        <v>21</v>
      </c>
      <c r="E20" s="45" t="s">
        <v>21</v>
      </c>
      <c r="F20" s="45" t="s">
        <v>21</v>
      </c>
      <c r="G20" s="45" t="s">
        <v>21</v>
      </c>
      <c r="H20" s="45" t="s">
        <v>21</v>
      </c>
      <c r="I20" s="45" t="s">
        <v>21</v>
      </c>
      <c r="J20" s="45" t="s">
        <v>21</v>
      </c>
      <c r="K20" s="45" t="s">
        <v>21</v>
      </c>
      <c r="L20" s="45" t="s">
        <v>21</v>
      </c>
      <c r="M20" s="45" t="s">
        <v>21</v>
      </c>
      <c r="N20" s="45" t="s">
        <v>21</v>
      </c>
      <c r="O20" s="45" t="s">
        <v>21</v>
      </c>
      <c r="P20" s="45" t="s">
        <v>21</v>
      </c>
      <c r="Q20" s="45" t="s">
        <v>21</v>
      </c>
      <c r="R20" s="45" t="s">
        <v>21</v>
      </c>
      <c r="S20" s="45" t="s">
        <v>21</v>
      </c>
      <c r="T20" s="45" t="s">
        <v>21</v>
      </c>
      <c r="U20" s="45" t="s">
        <v>21</v>
      </c>
      <c r="V20" s="45" t="s">
        <v>21</v>
      </c>
      <c r="W20" s="45" t="s">
        <v>21</v>
      </c>
      <c r="X20" s="45" t="s">
        <v>21</v>
      </c>
      <c r="Y20" s="45" t="s">
        <v>21</v>
      </c>
      <c r="Z20" s="45" t="s">
        <v>21</v>
      </c>
      <c r="AA20" s="45" t="s">
        <v>21</v>
      </c>
      <c r="AB20" s="45" t="s">
        <v>21</v>
      </c>
      <c r="AC20" s="45" t="s">
        <v>21</v>
      </c>
      <c r="AD20" s="45" t="s">
        <v>21</v>
      </c>
      <c r="AE20" s="45" t="s">
        <v>21</v>
      </c>
      <c r="AF20" s="45" t="s">
        <v>21</v>
      </c>
      <c r="AG20" s="45" t="s">
        <v>21</v>
      </c>
      <c r="AH20" s="45" t="s">
        <v>21</v>
      </c>
      <c r="AI20" s="45">
        <f t="shared" si="15"/>
        <v>31</v>
      </c>
      <c r="AJ20" s="45">
        <f t="shared" si="14"/>
        <v>30</v>
      </c>
      <c r="AK20" s="45">
        <f t="shared" si="14"/>
        <v>29</v>
      </c>
      <c r="AL20" s="55">
        <f t="shared" si="16"/>
        <v>0</v>
      </c>
    </row>
    <row r="21" spans="1:38" ht="23.4" x14ac:dyDescent="0.45">
      <c r="A21" s="54">
        <v>14</v>
      </c>
      <c r="B21" s="52" t="s">
        <v>81</v>
      </c>
      <c r="C21" s="52" t="s">
        <v>17</v>
      </c>
      <c r="D21" s="45" t="s">
        <v>21</v>
      </c>
      <c r="E21" s="45" t="s">
        <v>21</v>
      </c>
      <c r="F21" s="45" t="s">
        <v>21</v>
      </c>
      <c r="G21" s="45" t="s">
        <v>21</v>
      </c>
      <c r="H21" s="45" t="s">
        <v>21</v>
      </c>
      <c r="I21" s="45" t="s">
        <v>21</v>
      </c>
      <c r="J21" s="45" t="s">
        <v>21</v>
      </c>
      <c r="K21" s="45" t="s">
        <v>21</v>
      </c>
      <c r="L21" s="45" t="s">
        <v>21</v>
      </c>
      <c r="M21" s="45" t="s">
        <v>21</v>
      </c>
      <c r="N21" s="45" t="s">
        <v>21</v>
      </c>
      <c r="O21" s="45" t="s">
        <v>21</v>
      </c>
      <c r="P21" s="45" t="s">
        <v>21</v>
      </c>
      <c r="Q21" s="45" t="s">
        <v>21</v>
      </c>
      <c r="R21" s="45" t="s">
        <v>21</v>
      </c>
      <c r="S21" s="45" t="s">
        <v>21</v>
      </c>
      <c r="T21" s="45" t="s">
        <v>21</v>
      </c>
      <c r="U21" s="45" t="s">
        <v>21</v>
      </c>
      <c r="V21" s="45" t="s">
        <v>21</v>
      </c>
      <c r="W21" s="45" t="s">
        <v>21</v>
      </c>
      <c r="X21" s="45" t="s">
        <v>21</v>
      </c>
      <c r="Y21" s="45" t="s">
        <v>21</v>
      </c>
      <c r="Z21" s="45" t="s">
        <v>21</v>
      </c>
      <c r="AA21" s="45" t="s">
        <v>21</v>
      </c>
      <c r="AB21" s="45" t="s">
        <v>21</v>
      </c>
      <c r="AC21" s="45" t="s">
        <v>21</v>
      </c>
      <c r="AD21" s="45" t="s">
        <v>21</v>
      </c>
      <c r="AE21" s="45" t="s">
        <v>21</v>
      </c>
      <c r="AF21" s="45" t="s">
        <v>21</v>
      </c>
      <c r="AG21" s="45" t="s">
        <v>21</v>
      </c>
      <c r="AH21" s="45" t="s">
        <v>21</v>
      </c>
      <c r="AI21" s="45">
        <f t="shared" si="15"/>
        <v>31</v>
      </c>
      <c r="AJ21" s="45">
        <f t="shared" si="14"/>
        <v>30</v>
      </c>
      <c r="AK21" s="45">
        <f t="shared" si="14"/>
        <v>29</v>
      </c>
      <c r="AL21" s="55">
        <f t="shared" si="16"/>
        <v>0</v>
      </c>
    </row>
    <row r="22" spans="1:38" ht="23.4" x14ac:dyDescent="0.45">
      <c r="A22" s="54">
        <v>15</v>
      </c>
      <c r="B22" s="52" t="s">
        <v>82</v>
      </c>
      <c r="C22" s="52" t="s">
        <v>17</v>
      </c>
      <c r="D22" s="45" t="s">
        <v>21</v>
      </c>
      <c r="E22" s="45" t="s">
        <v>21</v>
      </c>
      <c r="F22" s="45" t="s">
        <v>21</v>
      </c>
      <c r="G22" s="45" t="s">
        <v>21</v>
      </c>
      <c r="H22" s="45" t="s">
        <v>21</v>
      </c>
      <c r="I22" s="45" t="s">
        <v>21</v>
      </c>
      <c r="J22" s="45" t="s">
        <v>21</v>
      </c>
      <c r="K22" s="45" t="s">
        <v>21</v>
      </c>
      <c r="L22" s="45" t="s">
        <v>21</v>
      </c>
      <c r="M22" s="45" t="s">
        <v>21</v>
      </c>
      <c r="N22" s="45" t="s">
        <v>21</v>
      </c>
      <c r="O22" s="45" t="s">
        <v>21</v>
      </c>
      <c r="P22" s="45" t="s">
        <v>21</v>
      </c>
      <c r="Q22" s="45" t="s">
        <v>21</v>
      </c>
      <c r="R22" s="45" t="s">
        <v>21</v>
      </c>
      <c r="S22" s="45" t="s">
        <v>21</v>
      </c>
      <c r="T22" s="45" t="s">
        <v>21</v>
      </c>
      <c r="U22" s="45" t="s">
        <v>21</v>
      </c>
      <c r="V22" s="45" t="s">
        <v>21</v>
      </c>
      <c r="W22" s="45" t="s">
        <v>21</v>
      </c>
      <c r="X22" s="45" t="s">
        <v>21</v>
      </c>
      <c r="Y22" s="45" t="s">
        <v>21</v>
      </c>
      <c r="Z22" s="45" t="s">
        <v>21</v>
      </c>
      <c r="AA22" s="45" t="s">
        <v>21</v>
      </c>
      <c r="AB22" s="45" t="s">
        <v>21</v>
      </c>
      <c r="AC22" s="45" t="s">
        <v>21</v>
      </c>
      <c r="AD22" s="45" t="s">
        <v>21</v>
      </c>
      <c r="AE22" s="45" t="s">
        <v>21</v>
      </c>
      <c r="AF22" s="45" t="s">
        <v>21</v>
      </c>
      <c r="AG22" s="45" t="s">
        <v>21</v>
      </c>
      <c r="AH22" s="45" t="s">
        <v>21</v>
      </c>
      <c r="AI22" s="45">
        <f t="shared" si="15"/>
        <v>31</v>
      </c>
      <c r="AJ22" s="45">
        <f t="shared" si="14"/>
        <v>30</v>
      </c>
      <c r="AK22" s="45">
        <f t="shared" si="14"/>
        <v>29</v>
      </c>
      <c r="AL22" s="55">
        <f t="shared" si="16"/>
        <v>0</v>
      </c>
    </row>
    <row r="23" spans="1:38" ht="23.4" x14ac:dyDescent="0.45">
      <c r="A23" s="54">
        <v>16</v>
      </c>
      <c r="B23" s="52" t="s">
        <v>83</v>
      </c>
      <c r="C23" s="52" t="s">
        <v>17</v>
      </c>
      <c r="D23" s="45" t="s">
        <v>21</v>
      </c>
      <c r="E23" s="45" t="s">
        <v>21</v>
      </c>
      <c r="F23" s="45" t="s">
        <v>21</v>
      </c>
      <c r="G23" s="45" t="s">
        <v>21</v>
      </c>
      <c r="H23" s="45" t="s">
        <v>21</v>
      </c>
      <c r="I23" s="45" t="s">
        <v>21</v>
      </c>
      <c r="J23" s="45" t="s">
        <v>21</v>
      </c>
      <c r="K23" s="45" t="s">
        <v>21</v>
      </c>
      <c r="L23" s="45" t="s">
        <v>21</v>
      </c>
      <c r="M23" s="45" t="s">
        <v>21</v>
      </c>
      <c r="N23" s="45" t="s">
        <v>21</v>
      </c>
      <c r="O23" s="45" t="s">
        <v>21</v>
      </c>
      <c r="P23" s="45" t="s">
        <v>21</v>
      </c>
      <c r="Q23" s="45" t="s">
        <v>21</v>
      </c>
      <c r="R23" s="45" t="s">
        <v>21</v>
      </c>
      <c r="S23" s="45" t="s">
        <v>21</v>
      </c>
      <c r="T23" s="45" t="s">
        <v>21</v>
      </c>
      <c r="U23" s="45" t="s">
        <v>21</v>
      </c>
      <c r="V23" s="45" t="s">
        <v>21</v>
      </c>
      <c r="W23" s="45" t="s">
        <v>21</v>
      </c>
      <c r="X23" s="45" t="s">
        <v>21</v>
      </c>
      <c r="Y23" s="45" t="s">
        <v>21</v>
      </c>
      <c r="Z23" s="45" t="s">
        <v>21</v>
      </c>
      <c r="AA23" s="45" t="s">
        <v>21</v>
      </c>
      <c r="AB23" s="45" t="s">
        <v>21</v>
      </c>
      <c r="AC23" s="45" t="s">
        <v>21</v>
      </c>
      <c r="AD23" s="45" t="s">
        <v>21</v>
      </c>
      <c r="AE23" s="45" t="s">
        <v>21</v>
      </c>
      <c r="AF23" s="45" t="s">
        <v>21</v>
      </c>
      <c r="AG23" s="45" t="s">
        <v>21</v>
      </c>
      <c r="AH23" s="45" t="s">
        <v>21</v>
      </c>
      <c r="AI23" s="45">
        <f t="shared" si="15"/>
        <v>31</v>
      </c>
      <c r="AJ23" s="45">
        <f t="shared" si="14"/>
        <v>30</v>
      </c>
      <c r="AK23" s="45">
        <f t="shared" si="14"/>
        <v>29</v>
      </c>
      <c r="AL23" s="55">
        <f t="shared" si="16"/>
        <v>0</v>
      </c>
    </row>
    <row r="24" spans="1:38" ht="23.4" x14ac:dyDescent="0.45">
      <c r="A24" s="54">
        <v>17</v>
      </c>
      <c r="B24" s="52" t="s">
        <v>84</v>
      </c>
      <c r="C24" s="52" t="s">
        <v>17</v>
      </c>
      <c r="D24" s="45" t="s">
        <v>21</v>
      </c>
      <c r="E24" s="45" t="s">
        <v>21</v>
      </c>
      <c r="F24" s="45" t="s">
        <v>21</v>
      </c>
      <c r="G24" s="45" t="s">
        <v>21</v>
      </c>
      <c r="H24" s="45" t="s">
        <v>21</v>
      </c>
      <c r="I24" s="45" t="s">
        <v>21</v>
      </c>
      <c r="J24" s="45" t="s">
        <v>21</v>
      </c>
      <c r="K24" s="45" t="s">
        <v>21</v>
      </c>
      <c r="L24" s="45" t="s">
        <v>21</v>
      </c>
      <c r="M24" s="45" t="s">
        <v>21</v>
      </c>
      <c r="N24" s="45" t="s">
        <v>21</v>
      </c>
      <c r="O24" s="45" t="s">
        <v>21</v>
      </c>
      <c r="P24" s="45" t="s">
        <v>21</v>
      </c>
      <c r="Q24" s="45" t="s">
        <v>21</v>
      </c>
      <c r="R24" s="45" t="s">
        <v>21</v>
      </c>
      <c r="S24" s="45" t="s">
        <v>21</v>
      </c>
      <c r="T24" s="45" t="s">
        <v>21</v>
      </c>
      <c r="U24" s="45" t="s">
        <v>21</v>
      </c>
      <c r="V24" s="45" t="s">
        <v>21</v>
      </c>
      <c r="W24" s="45" t="s">
        <v>21</v>
      </c>
      <c r="X24" s="45" t="s">
        <v>21</v>
      </c>
      <c r="Y24" s="45" t="s">
        <v>21</v>
      </c>
      <c r="Z24" s="45" t="s">
        <v>21</v>
      </c>
      <c r="AA24" s="45" t="s">
        <v>21</v>
      </c>
      <c r="AB24" s="45" t="s">
        <v>21</v>
      </c>
      <c r="AC24" s="45" t="s">
        <v>21</v>
      </c>
      <c r="AD24" s="45" t="s">
        <v>21</v>
      </c>
      <c r="AE24" s="45" t="s">
        <v>21</v>
      </c>
      <c r="AF24" s="45" t="s">
        <v>21</v>
      </c>
      <c r="AG24" s="45" t="s">
        <v>21</v>
      </c>
      <c r="AH24" s="45" t="s">
        <v>21</v>
      </c>
      <c r="AI24" s="45">
        <f t="shared" si="15"/>
        <v>31</v>
      </c>
      <c r="AJ24" s="45">
        <f t="shared" ref="AJ24:AJ26" si="17">COUNTIF(E24:AI24,"P")</f>
        <v>30</v>
      </c>
      <c r="AK24" s="45">
        <f t="shared" ref="AK24:AK26" si="18">COUNTIF(F24:AJ24,"P")</f>
        <v>29</v>
      </c>
      <c r="AL24" s="55">
        <f t="shared" si="16"/>
        <v>0</v>
      </c>
    </row>
    <row r="25" spans="1:38" ht="23.4" x14ac:dyDescent="0.45">
      <c r="A25" s="54">
        <v>18</v>
      </c>
      <c r="B25" s="52" t="s">
        <v>85</v>
      </c>
      <c r="C25" s="52" t="s">
        <v>17</v>
      </c>
      <c r="D25" s="45" t="s">
        <v>21</v>
      </c>
      <c r="E25" s="45" t="s">
        <v>21</v>
      </c>
      <c r="F25" s="45" t="s">
        <v>21</v>
      </c>
      <c r="G25" s="45" t="s">
        <v>21</v>
      </c>
      <c r="H25" s="45" t="s">
        <v>21</v>
      </c>
      <c r="I25" s="45" t="s">
        <v>21</v>
      </c>
      <c r="J25" s="45" t="s">
        <v>21</v>
      </c>
      <c r="K25" s="45" t="s">
        <v>21</v>
      </c>
      <c r="L25" s="45" t="s">
        <v>21</v>
      </c>
      <c r="M25" s="45" t="s">
        <v>21</v>
      </c>
      <c r="N25" s="45" t="s">
        <v>21</v>
      </c>
      <c r="O25" s="45" t="s">
        <v>21</v>
      </c>
      <c r="P25" s="45" t="s">
        <v>21</v>
      </c>
      <c r="Q25" s="45" t="s">
        <v>21</v>
      </c>
      <c r="R25" s="45" t="s">
        <v>21</v>
      </c>
      <c r="S25" s="45" t="s">
        <v>21</v>
      </c>
      <c r="T25" s="45" t="s">
        <v>21</v>
      </c>
      <c r="U25" s="45" t="s">
        <v>21</v>
      </c>
      <c r="V25" s="45" t="s">
        <v>21</v>
      </c>
      <c r="W25" s="45" t="s">
        <v>21</v>
      </c>
      <c r="X25" s="45" t="s">
        <v>21</v>
      </c>
      <c r="Y25" s="45" t="s">
        <v>21</v>
      </c>
      <c r="Z25" s="45" t="s">
        <v>21</v>
      </c>
      <c r="AA25" s="45" t="s">
        <v>21</v>
      </c>
      <c r="AB25" s="45" t="s">
        <v>21</v>
      </c>
      <c r="AC25" s="45" t="s">
        <v>21</v>
      </c>
      <c r="AD25" s="45" t="s">
        <v>21</v>
      </c>
      <c r="AE25" s="45" t="s">
        <v>21</v>
      </c>
      <c r="AF25" s="45" t="s">
        <v>21</v>
      </c>
      <c r="AG25" s="45" t="s">
        <v>21</v>
      </c>
      <c r="AH25" s="45" t="s">
        <v>21</v>
      </c>
      <c r="AI25" s="45">
        <f t="shared" si="15"/>
        <v>31</v>
      </c>
      <c r="AJ25" s="45">
        <f t="shared" si="17"/>
        <v>30</v>
      </c>
      <c r="AK25" s="45">
        <f t="shared" si="18"/>
        <v>29</v>
      </c>
      <c r="AL25" s="55">
        <f t="shared" si="16"/>
        <v>0</v>
      </c>
    </row>
    <row r="26" spans="1:38" ht="24" thickBot="1" x14ac:dyDescent="0.5">
      <c r="A26" s="56">
        <v>19</v>
      </c>
      <c r="B26" s="57" t="s">
        <v>86</v>
      </c>
      <c r="C26" s="57" t="s">
        <v>17</v>
      </c>
      <c r="D26" s="58" t="s">
        <v>21</v>
      </c>
      <c r="E26" s="58" t="s">
        <v>21</v>
      </c>
      <c r="F26" s="58" t="s">
        <v>21</v>
      </c>
      <c r="G26" s="58" t="s">
        <v>21</v>
      </c>
      <c r="H26" s="58" t="s">
        <v>21</v>
      </c>
      <c r="I26" s="58" t="s">
        <v>21</v>
      </c>
      <c r="J26" s="58" t="s">
        <v>21</v>
      </c>
      <c r="K26" s="58" t="s">
        <v>21</v>
      </c>
      <c r="L26" s="58" t="s">
        <v>21</v>
      </c>
      <c r="M26" s="58" t="s">
        <v>21</v>
      </c>
      <c r="N26" s="58" t="s">
        <v>21</v>
      </c>
      <c r="O26" s="58" t="s">
        <v>21</v>
      </c>
      <c r="P26" s="58" t="s">
        <v>21</v>
      </c>
      <c r="Q26" s="58" t="s">
        <v>21</v>
      </c>
      <c r="R26" s="58" t="s">
        <v>21</v>
      </c>
      <c r="S26" s="58" t="s">
        <v>21</v>
      </c>
      <c r="T26" s="58" t="s">
        <v>21</v>
      </c>
      <c r="U26" s="58" t="s">
        <v>21</v>
      </c>
      <c r="V26" s="58" t="s">
        <v>21</v>
      </c>
      <c r="W26" s="58" t="s">
        <v>21</v>
      </c>
      <c r="X26" s="58" t="s">
        <v>21</v>
      </c>
      <c r="Y26" s="58" t="s">
        <v>21</v>
      </c>
      <c r="Z26" s="58" t="s">
        <v>21</v>
      </c>
      <c r="AA26" s="58" t="s">
        <v>21</v>
      </c>
      <c r="AB26" s="58" t="s">
        <v>21</v>
      </c>
      <c r="AC26" s="58" t="s">
        <v>21</v>
      </c>
      <c r="AD26" s="58" t="s">
        <v>21</v>
      </c>
      <c r="AE26" s="58" t="s">
        <v>21</v>
      </c>
      <c r="AF26" s="58" t="s">
        <v>21</v>
      </c>
      <c r="AG26" s="58" t="s">
        <v>21</v>
      </c>
      <c r="AH26" s="58" t="s">
        <v>21</v>
      </c>
      <c r="AI26" s="58">
        <f t="shared" si="15"/>
        <v>31</v>
      </c>
      <c r="AJ26" s="58">
        <f t="shared" si="17"/>
        <v>30</v>
      </c>
      <c r="AK26" s="58">
        <f t="shared" si="18"/>
        <v>29</v>
      </c>
      <c r="AL26" s="59">
        <f t="shared" si="16"/>
        <v>0</v>
      </c>
    </row>
    <row r="29" spans="1:38" ht="28.8" x14ac:dyDescent="0.55000000000000004">
      <c r="B29" s="46" t="s">
        <v>20</v>
      </c>
      <c r="C29" s="48" t="s">
        <v>21</v>
      </c>
      <c r="G29" s="44"/>
    </row>
    <row r="30" spans="1:38" ht="28.8" x14ac:dyDescent="0.55000000000000004">
      <c r="B30" s="46" t="s">
        <v>22</v>
      </c>
      <c r="C30" s="48" t="s">
        <v>19</v>
      </c>
      <c r="G30" s="44"/>
    </row>
    <row r="31" spans="1:38" ht="28.8" x14ac:dyDescent="0.55000000000000004">
      <c r="B31" s="46" t="s">
        <v>23</v>
      </c>
      <c r="C31" s="48" t="s">
        <v>24</v>
      </c>
      <c r="G31" s="44"/>
    </row>
    <row r="32" spans="1:38" ht="28.8" x14ac:dyDescent="0.55000000000000004">
      <c r="B32" s="46" t="s">
        <v>25</v>
      </c>
      <c r="C32" s="48" t="s">
        <v>26</v>
      </c>
      <c r="G32" s="44"/>
    </row>
    <row r="33" spans="2:7" ht="28.8" x14ac:dyDescent="0.55000000000000004">
      <c r="B33" s="47"/>
      <c r="C33" s="49"/>
      <c r="G33" s="44"/>
    </row>
    <row r="34" spans="2:7" ht="18" x14ac:dyDescent="0.35">
      <c r="G34" s="44"/>
    </row>
    <row r="35" spans="2:7" ht="18" x14ac:dyDescent="0.35">
      <c r="G35" s="44"/>
    </row>
    <row r="36" spans="2:7" ht="18" x14ac:dyDescent="0.35">
      <c r="G36" s="44"/>
    </row>
    <row r="37" spans="2:7" ht="18" x14ac:dyDescent="0.35">
      <c r="G37" s="44"/>
    </row>
    <row r="38" spans="2:7" ht="18" x14ac:dyDescent="0.35">
      <c r="G38" s="44"/>
    </row>
    <row r="39" spans="2:7" ht="18" x14ac:dyDescent="0.35">
      <c r="G39" s="44"/>
    </row>
    <row r="40" spans="2:7" ht="18" x14ac:dyDescent="0.35">
      <c r="G40" s="44"/>
    </row>
    <row r="41" spans="2:7" ht="18" x14ac:dyDescent="0.35">
      <c r="G41" s="44"/>
    </row>
    <row r="42" spans="2:7" ht="18" x14ac:dyDescent="0.35">
      <c r="G42" s="44"/>
    </row>
    <row r="43" spans="2:7" ht="18" x14ac:dyDescent="0.35">
      <c r="G43" s="44"/>
    </row>
    <row r="44" spans="2:7" ht="18" x14ac:dyDescent="0.35">
      <c r="G44" s="44"/>
    </row>
    <row r="45" spans="2:7" ht="18" x14ac:dyDescent="0.35">
      <c r="G45" s="44"/>
    </row>
    <row r="46" spans="2:7" ht="18" x14ac:dyDescent="0.35">
      <c r="G46" s="44"/>
    </row>
    <row r="47" spans="2:7" ht="18" x14ac:dyDescent="0.35">
      <c r="G47" s="44"/>
    </row>
    <row r="48" spans="2:7" ht="18" x14ac:dyDescent="0.35">
      <c r="G48" s="44"/>
    </row>
    <row r="49" spans="7:7" ht="18" x14ac:dyDescent="0.35">
      <c r="G49" s="44"/>
    </row>
    <row r="50" spans="7:7" ht="18" x14ac:dyDescent="0.35">
      <c r="G50" s="44"/>
    </row>
    <row r="51" spans="7:7" ht="18" x14ac:dyDescent="0.35">
      <c r="G51" s="44"/>
    </row>
    <row r="52" spans="7:7" ht="18" x14ac:dyDescent="0.35">
      <c r="G52" s="44"/>
    </row>
    <row r="53" spans="7:7" ht="18" x14ac:dyDescent="0.35">
      <c r="G53" s="44"/>
    </row>
    <row r="54" spans="7:7" ht="18" x14ac:dyDescent="0.35">
      <c r="G54" s="44"/>
    </row>
    <row r="55" spans="7:7" ht="18" x14ac:dyDescent="0.35">
      <c r="G55" s="44"/>
    </row>
    <row r="56" spans="7:7" ht="18" x14ac:dyDescent="0.35">
      <c r="G56" s="44"/>
    </row>
    <row r="57" spans="7:7" ht="18" x14ac:dyDescent="0.35">
      <c r="G57" s="44"/>
    </row>
    <row r="58" spans="7:7" ht="18" x14ac:dyDescent="0.35">
      <c r="G58" s="44"/>
    </row>
    <row r="59" spans="7:7" ht="18" x14ac:dyDescent="0.35">
      <c r="G59" s="44"/>
    </row>
    <row r="60" spans="7:7" ht="18" x14ac:dyDescent="0.35">
      <c r="G60" s="44"/>
    </row>
    <row r="61" spans="7:7" ht="18" x14ac:dyDescent="0.35">
      <c r="G61" s="44"/>
    </row>
    <row r="62" spans="7:7" ht="18" x14ac:dyDescent="0.35">
      <c r="G62" s="44"/>
    </row>
    <row r="63" spans="7:7" ht="18" x14ac:dyDescent="0.35">
      <c r="G63" s="44"/>
    </row>
    <row r="64" spans="7:7" ht="18" x14ac:dyDescent="0.35">
      <c r="G64" s="44"/>
    </row>
    <row r="65" spans="7:7" ht="18" x14ac:dyDescent="0.35">
      <c r="G65" s="44"/>
    </row>
    <row r="66" spans="7:7" ht="18" x14ac:dyDescent="0.35">
      <c r="G66" s="44"/>
    </row>
    <row r="67" spans="7:7" ht="18" x14ac:dyDescent="0.35">
      <c r="G67" s="44"/>
    </row>
    <row r="68" spans="7:7" ht="18" x14ac:dyDescent="0.35">
      <c r="G68" s="44"/>
    </row>
    <row r="69" spans="7:7" ht="18" x14ac:dyDescent="0.35">
      <c r="G69" s="44"/>
    </row>
    <row r="70" spans="7:7" ht="18" x14ac:dyDescent="0.35">
      <c r="G70" s="44"/>
    </row>
    <row r="71" spans="7:7" ht="18" x14ac:dyDescent="0.35">
      <c r="G71" s="44"/>
    </row>
    <row r="72" spans="7:7" ht="18" x14ac:dyDescent="0.35">
      <c r="G72" s="44"/>
    </row>
    <row r="73" spans="7:7" ht="18" x14ac:dyDescent="0.35">
      <c r="G73" s="44"/>
    </row>
    <row r="74" spans="7:7" ht="18" x14ac:dyDescent="0.35">
      <c r="G74" s="44"/>
    </row>
    <row r="75" spans="7:7" ht="18" x14ac:dyDescent="0.35">
      <c r="G75" s="44"/>
    </row>
    <row r="76" spans="7:7" ht="18" x14ac:dyDescent="0.35">
      <c r="G76" s="44"/>
    </row>
    <row r="77" spans="7:7" ht="18" x14ac:dyDescent="0.35">
      <c r="G77" s="44"/>
    </row>
    <row r="78" spans="7:7" ht="18" x14ac:dyDescent="0.35">
      <c r="G78" s="44"/>
    </row>
    <row r="79" spans="7:7" ht="18" x14ac:dyDescent="0.35">
      <c r="G79" s="44"/>
    </row>
    <row r="80" spans="7:7" ht="18" x14ac:dyDescent="0.35">
      <c r="G80" s="44"/>
    </row>
    <row r="81" spans="7:7" ht="18" x14ac:dyDescent="0.35">
      <c r="G81" s="44"/>
    </row>
    <row r="82" spans="7:7" ht="18" x14ac:dyDescent="0.35">
      <c r="G82" s="44"/>
    </row>
    <row r="83" spans="7:7" ht="18" x14ac:dyDescent="0.35">
      <c r="G83" s="44"/>
    </row>
    <row r="84" spans="7:7" ht="18" x14ac:dyDescent="0.35">
      <c r="G84" s="44"/>
    </row>
    <row r="85" spans="7:7" ht="18" x14ac:dyDescent="0.35">
      <c r="G85" s="44"/>
    </row>
    <row r="86" spans="7:7" ht="18" x14ac:dyDescent="0.35">
      <c r="G86" s="44"/>
    </row>
    <row r="87" spans="7:7" ht="18" x14ac:dyDescent="0.35">
      <c r="G87" s="44"/>
    </row>
    <row r="88" spans="7:7" ht="18" x14ac:dyDescent="0.35">
      <c r="G88" s="44"/>
    </row>
    <row r="89" spans="7:7" ht="18" x14ac:dyDescent="0.35">
      <c r="G89" s="44"/>
    </row>
    <row r="90" spans="7:7" ht="18" x14ac:dyDescent="0.35">
      <c r="G90" s="44" t="str">
        <f t="shared" ref="G30:G93" si="19">PROPER(B69)</f>
        <v/>
      </c>
    </row>
    <row r="91" spans="7:7" ht="18" x14ac:dyDescent="0.35">
      <c r="G91" s="44" t="str">
        <f t="shared" si="19"/>
        <v/>
      </c>
    </row>
    <row r="92" spans="7:7" ht="18" x14ac:dyDescent="0.35">
      <c r="G92" s="44" t="str">
        <f t="shared" si="19"/>
        <v/>
      </c>
    </row>
    <row r="93" spans="7:7" ht="18" x14ac:dyDescent="0.35">
      <c r="G93" s="44" t="str">
        <f t="shared" si="19"/>
        <v/>
      </c>
    </row>
    <row r="94" spans="7:7" ht="18" x14ac:dyDescent="0.35">
      <c r="G94" s="44" t="str">
        <f t="shared" ref="G94:G104" si="20">PROPER(B73)</f>
        <v/>
      </c>
    </row>
    <row r="95" spans="7:7" ht="18" x14ac:dyDescent="0.35">
      <c r="G95" s="44" t="str">
        <f t="shared" si="20"/>
        <v/>
      </c>
    </row>
    <row r="96" spans="7:7" ht="18" x14ac:dyDescent="0.35">
      <c r="G96" s="44" t="str">
        <f t="shared" si="20"/>
        <v/>
      </c>
    </row>
    <row r="97" spans="7:7" ht="18" x14ac:dyDescent="0.35">
      <c r="G97" s="44" t="str">
        <f t="shared" si="20"/>
        <v/>
      </c>
    </row>
    <row r="98" spans="7:7" ht="18" x14ac:dyDescent="0.35">
      <c r="G98" s="44" t="str">
        <f t="shared" si="20"/>
        <v/>
      </c>
    </row>
    <row r="99" spans="7:7" ht="18" x14ac:dyDescent="0.35">
      <c r="G99" s="44" t="str">
        <f t="shared" si="20"/>
        <v/>
      </c>
    </row>
    <row r="100" spans="7:7" ht="18" x14ac:dyDescent="0.35">
      <c r="G100" s="44" t="str">
        <f t="shared" si="20"/>
        <v/>
      </c>
    </row>
    <row r="101" spans="7:7" ht="18" x14ac:dyDescent="0.35">
      <c r="G101" s="44" t="str">
        <f t="shared" si="20"/>
        <v/>
      </c>
    </row>
    <row r="102" spans="7:7" ht="18" x14ac:dyDescent="0.35">
      <c r="G102" s="44" t="str">
        <f t="shared" si="20"/>
        <v/>
      </c>
    </row>
    <row r="103" spans="7:7" ht="18" x14ac:dyDescent="0.35">
      <c r="G103" s="44" t="str">
        <f t="shared" si="20"/>
        <v/>
      </c>
    </row>
    <row r="104" spans="7:7" ht="18" x14ac:dyDescent="0.35">
      <c r="G104" s="44" t="str">
        <f t="shared" si="20"/>
        <v/>
      </c>
    </row>
  </sheetData>
  <mergeCells count="15">
    <mergeCell ref="A2:AL2"/>
    <mergeCell ref="AK6:AK7"/>
    <mergeCell ref="AL6:AL7"/>
    <mergeCell ref="Z5:AH5"/>
    <mergeCell ref="R5:Y5"/>
    <mergeCell ref="J5:O5"/>
    <mergeCell ref="D5:I5"/>
    <mergeCell ref="AI6:AI7"/>
    <mergeCell ref="AJ6:AJ7"/>
    <mergeCell ref="A6:A7"/>
    <mergeCell ref="B6:B7"/>
    <mergeCell ref="C6:C7"/>
    <mergeCell ref="P5:Q5"/>
    <mergeCell ref="B5:C5"/>
    <mergeCell ref="AI5:AL5"/>
  </mergeCells>
  <conditionalFormatting sqref="D8:AH26 G29:G104">
    <cfRule type="expression" dxfId="6" priority="2">
      <formula>D$6="SUN"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65DD42-CA78-4FAA-B471-362748106D1B}">
          <x14:formula1>
            <xm:f>Sheet2!$A$1:$A$12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28AC-A3A2-4644-AFDC-63DD9983D418}">
  <dimension ref="A1:A12"/>
  <sheetViews>
    <sheetView workbookViewId="0">
      <selection activeCell="B12" sqref="B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888B-8979-44CF-A57B-D81A5D85CAFE}">
  <dimension ref="A1:AM18"/>
  <sheetViews>
    <sheetView zoomScale="95" zoomScaleNormal="95" workbookViewId="0">
      <selection activeCell="R18" sqref="R18"/>
    </sheetView>
  </sheetViews>
  <sheetFormatPr defaultRowHeight="14.4" x14ac:dyDescent="0.3"/>
  <cols>
    <col min="1" max="1" width="9.77734375" bestFit="1" customWidth="1"/>
    <col min="2" max="2" width="10" bestFit="1" customWidth="1"/>
    <col min="3" max="3" width="14.77734375" bestFit="1" customWidth="1"/>
    <col min="4" max="4" width="7.109375" bestFit="1" customWidth="1"/>
    <col min="5" max="5" width="5.77734375" bestFit="1" customWidth="1"/>
    <col min="6" max="6" width="7" bestFit="1" customWidth="1"/>
    <col min="7" max="7" width="5.77734375" bestFit="1" customWidth="1"/>
    <col min="8" max="9" width="6.109375" bestFit="1" customWidth="1"/>
    <col min="10" max="10" width="5.77734375" bestFit="1" customWidth="1"/>
    <col min="11" max="11" width="7.109375" bestFit="1" customWidth="1"/>
    <col min="12" max="12" width="5.77734375" bestFit="1" customWidth="1"/>
    <col min="13" max="13" width="7" bestFit="1" customWidth="1"/>
    <col min="14" max="14" width="5.77734375" bestFit="1" customWidth="1"/>
    <col min="15" max="16" width="6.109375" bestFit="1" customWidth="1"/>
    <col min="17" max="17" width="5.77734375" bestFit="1" customWidth="1"/>
    <col min="18" max="18" width="7.109375" bestFit="1" customWidth="1"/>
    <col min="19" max="19" width="5.77734375" bestFit="1" customWidth="1"/>
    <col min="20" max="20" width="7" bestFit="1" customWidth="1"/>
    <col min="21" max="21" width="5.77734375" bestFit="1" customWidth="1"/>
    <col min="22" max="23" width="6.109375" bestFit="1" customWidth="1"/>
    <col min="24" max="24" width="5.77734375" bestFit="1" customWidth="1"/>
    <col min="25" max="25" width="7.109375" bestFit="1" customWidth="1"/>
    <col min="26" max="26" width="5.77734375" bestFit="1" customWidth="1"/>
    <col min="27" max="27" width="7" bestFit="1" customWidth="1"/>
    <col min="28" max="28" width="5.77734375" bestFit="1" customWidth="1"/>
    <col min="29" max="30" width="6.109375" bestFit="1" customWidth="1"/>
    <col min="31" max="31" width="5.77734375" bestFit="1" customWidth="1"/>
    <col min="32" max="32" width="7.109375" bestFit="1" customWidth="1"/>
    <col min="33" max="33" width="5.77734375" bestFit="1" customWidth="1"/>
    <col min="34" max="34" width="6.109375" bestFit="1" customWidth="1"/>
    <col min="35" max="35" width="10.6640625" bestFit="1" customWidth="1"/>
    <col min="36" max="36" width="9.5546875" bestFit="1" customWidth="1"/>
    <col min="37" max="37" width="10.77734375" bestFit="1" customWidth="1"/>
    <col min="38" max="38" width="7.77734375" bestFit="1" customWidth="1"/>
    <col min="39" max="39" width="23.21875" bestFit="1" customWidth="1"/>
  </cols>
  <sheetData>
    <row r="1" spans="1:39" ht="15" thickBot="1" x14ac:dyDescent="0.35"/>
    <row r="2" spans="1:39" ht="61.2" customHeight="1" thickBot="1" x14ac:dyDescent="1.1499999999999999">
      <c r="A2" s="30" t="s">
        <v>27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2"/>
    </row>
    <row r="3" spans="1:39" ht="21" x14ac:dyDescent="0.3">
      <c r="A3" s="41" t="s">
        <v>40</v>
      </c>
      <c r="B3" s="36"/>
      <c r="C3" s="42" t="s">
        <v>34</v>
      </c>
      <c r="D3" s="42"/>
      <c r="E3" s="43"/>
      <c r="F3" s="38">
        <f>DATEVALUE("1"&amp;C3&amp;"2026")</f>
        <v>46204</v>
      </c>
      <c r="G3" s="38"/>
      <c r="H3" s="38"/>
      <c r="I3" s="38"/>
      <c r="J3" s="38"/>
      <c r="K3" s="38"/>
      <c r="L3" s="38"/>
      <c r="M3" s="35" t="s">
        <v>57</v>
      </c>
      <c r="N3" s="36"/>
      <c r="O3" s="36"/>
      <c r="P3" s="36"/>
      <c r="Q3" s="36"/>
      <c r="R3" s="37"/>
      <c r="S3" s="38">
        <f>EOMONTH(F3,0)</f>
        <v>46234</v>
      </c>
      <c r="T3" s="38"/>
      <c r="U3" s="38"/>
      <c r="V3" s="38"/>
      <c r="W3" s="38"/>
      <c r="X3" s="38"/>
      <c r="Y3" s="38"/>
      <c r="Z3" s="38"/>
      <c r="AA3" s="35" t="s">
        <v>60</v>
      </c>
      <c r="AB3" s="36"/>
      <c r="AC3" s="36"/>
      <c r="AD3" s="36"/>
      <c r="AE3" s="36"/>
      <c r="AF3" s="36"/>
      <c r="AG3" s="36"/>
      <c r="AH3" s="36"/>
      <c r="AI3" s="37"/>
      <c r="AJ3" s="39">
        <v>46174</v>
      </c>
      <c r="AK3" s="39"/>
      <c r="AL3" s="39"/>
      <c r="AM3" s="40"/>
    </row>
    <row r="4" spans="1:39" ht="18" x14ac:dyDescent="0.3">
      <c r="A4" s="28" t="s">
        <v>41</v>
      </c>
      <c r="B4" s="29" t="s">
        <v>42</v>
      </c>
      <c r="C4" s="29" t="s">
        <v>43</v>
      </c>
      <c r="D4" s="2" t="str">
        <f>TEXT(D5,"DDD")</f>
        <v>Wed</v>
      </c>
      <c r="E4" s="2" t="str">
        <f t="shared" ref="E4:AH4" si="0">TEXT(E5,"DDD")</f>
        <v>Thu</v>
      </c>
      <c r="F4" s="2" t="str">
        <f t="shared" si="0"/>
        <v>Fri</v>
      </c>
      <c r="G4" s="2" t="str">
        <f t="shared" si="0"/>
        <v>Sat</v>
      </c>
      <c r="H4" s="2" t="str">
        <f t="shared" si="0"/>
        <v>Sun</v>
      </c>
      <c r="I4" s="2" t="str">
        <f t="shared" si="0"/>
        <v>Mon</v>
      </c>
      <c r="J4" s="2" t="str">
        <f t="shared" si="0"/>
        <v>Tue</v>
      </c>
      <c r="K4" s="2" t="str">
        <f t="shared" si="0"/>
        <v>Wed</v>
      </c>
      <c r="L4" s="2" t="str">
        <f t="shared" si="0"/>
        <v>Thu</v>
      </c>
      <c r="M4" s="2" t="str">
        <f t="shared" si="0"/>
        <v>Fri</v>
      </c>
      <c r="N4" s="2" t="str">
        <f t="shared" si="0"/>
        <v>Sat</v>
      </c>
      <c r="O4" s="2" t="str">
        <f t="shared" si="0"/>
        <v>Sun</v>
      </c>
      <c r="P4" s="2" t="str">
        <f t="shared" si="0"/>
        <v>Mon</v>
      </c>
      <c r="Q4" s="2" t="str">
        <f t="shared" si="0"/>
        <v>Tue</v>
      </c>
      <c r="R4" s="2" t="str">
        <f t="shared" si="0"/>
        <v>Wed</v>
      </c>
      <c r="S4" s="2" t="str">
        <f t="shared" si="0"/>
        <v>Thu</v>
      </c>
      <c r="T4" s="2" t="str">
        <f t="shared" si="0"/>
        <v>Fri</v>
      </c>
      <c r="U4" s="2" t="str">
        <f t="shared" si="0"/>
        <v>Sat</v>
      </c>
      <c r="V4" s="2" t="str">
        <f t="shared" si="0"/>
        <v>Sun</v>
      </c>
      <c r="W4" s="2" t="str">
        <f t="shared" si="0"/>
        <v>Mon</v>
      </c>
      <c r="X4" s="2" t="str">
        <f t="shared" si="0"/>
        <v>Tue</v>
      </c>
      <c r="Y4" s="2" t="str">
        <f t="shared" si="0"/>
        <v>Wed</v>
      </c>
      <c r="Z4" s="2" t="str">
        <f t="shared" si="0"/>
        <v>Thu</v>
      </c>
      <c r="AA4" s="2" t="str">
        <f t="shared" si="0"/>
        <v>Fri</v>
      </c>
      <c r="AB4" s="2" t="str">
        <f t="shared" si="0"/>
        <v>Sat</v>
      </c>
      <c r="AC4" s="2" t="str">
        <f t="shared" si="0"/>
        <v>Sun</v>
      </c>
      <c r="AD4" s="2" t="str">
        <f t="shared" si="0"/>
        <v>Mon</v>
      </c>
      <c r="AE4" s="2" t="str">
        <f t="shared" si="0"/>
        <v>Tue</v>
      </c>
      <c r="AF4" s="2" t="str">
        <f t="shared" si="0"/>
        <v>Wed</v>
      </c>
      <c r="AG4" s="2" t="str">
        <f t="shared" si="0"/>
        <v>Thu</v>
      </c>
      <c r="AH4" s="2" t="str">
        <f t="shared" si="0"/>
        <v>Fri</v>
      </c>
      <c r="AI4" s="26" t="s">
        <v>20</v>
      </c>
      <c r="AJ4" s="26" t="s">
        <v>22</v>
      </c>
      <c r="AK4" s="26" t="s">
        <v>61</v>
      </c>
      <c r="AL4" s="26" t="s">
        <v>25</v>
      </c>
      <c r="AM4" s="33" t="s">
        <v>58</v>
      </c>
    </row>
    <row r="5" spans="1:39" ht="18" x14ac:dyDescent="0.3">
      <c r="A5" s="28"/>
      <c r="B5" s="29"/>
      <c r="C5" s="29"/>
      <c r="D5" s="4">
        <f>F3</f>
        <v>46204</v>
      </c>
      <c r="E5" s="4">
        <f t="shared" ref="E5:AH5" si="1">IF(D5&lt;$S$3,D5+1,0)</f>
        <v>46205</v>
      </c>
      <c r="F5" s="4">
        <f t="shared" si="1"/>
        <v>46206</v>
      </c>
      <c r="G5" s="4">
        <f t="shared" si="1"/>
        <v>46207</v>
      </c>
      <c r="H5" s="4">
        <f t="shared" si="1"/>
        <v>46208</v>
      </c>
      <c r="I5" s="4">
        <f t="shared" si="1"/>
        <v>46209</v>
      </c>
      <c r="J5" s="4">
        <f t="shared" si="1"/>
        <v>46210</v>
      </c>
      <c r="K5" s="4">
        <f t="shared" si="1"/>
        <v>46211</v>
      </c>
      <c r="L5" s="4">
        <f t="shared" si="1"/>
        <v>46212</v>
      </c>
      <c r="M5" s="4">
        <f t="shared" si="1"/>
        <v>46213</v>
      </c>
      <c r="N5" s="4">
        <f t="shared" si="1"/>
        <v>46214</v>
      </c>
      <c r="O5" s="4">
        <f t="shared" si="1"/>
        <v>46215</v>
      </c>
      <c r="P5" s="4">
        <f t="shared" si="1"/>
        <v>46216</v>
      </c>
      <c r="Q5" s="4">
        <f t="shared" si="1"/>
        <v>46217</v>
      </c>
      <c r="R5" s="4">
        <f t="shared" si="1"/>
        <v>46218</v>
      </c>
      <c r="S5" s="4">
        <f t="shared" si="1"/>
        <v>46219</v>
      </c>
      <c r="T5" s="4">
        <f t="shared" si="1"/>
        <v>46220</v>
      </c>
      <c r="U5" s="4">
        <f t="shared" si="1"/>
        <v>46221</v>
      </c>
      <c r="V5" s="4">
        <f t="shared" si="1"/>
        <v>46222</v>
      </c>
      <c r="W5" s="4">
        <f t="shared" si="1"/>
        <v>46223</v>
      </c>
      <c r="X5" s="4">
        <f t="shared" si="1"/>
        <v>46224</v>
      </c>
      <c r="Y5" s="4">
        <f t="shared" si="1"/>
        <v>46225</v>
      </c>
      <c r="Z5" s="4">
        <f t="shared" si="1"/>
        <v>46226</v>
      </c>
      <c r="AA5" s="4">
        <f t="shared" si="1"/>
        <v>46227</v>
      </c>
      <c r="AB5" s="4">
        <f t="shared" si="1"/>
        <v>46228</v>
      </c>
      <c r="AC5" s="4">
        <f t="shared" si="1"/>
        <v>46229</v>
      </c>
      <c r="AD5" s="4">
        <f t="shared" si="1"/>
        <v>46230</v>
      </c>
      <c r="AE5" s="4">
        <f t="shared" si="1"/>
        <v>46231</v>
      </c>
      <c r="AF5" s="4">
        <f t="shared" si="1"/>
        <v>46232</v>
      </c>
      <c r="AG5" s="4">
        <f t="shared" si="1"/>
        <v>46233</v>
      </c>
      <c r="AH5" s="4">
        <f t="shared" si="1"/>
        <v>46234</v>
      </c>
      <c r="AI5" s="27"/>
      <c r="AJ5" s="27"/>
      <c r="AK5" s="27"/>
      <c r="AL5" s="27"/>
      <c r="AM5" s="34"/>
    </row>
    <row r="6" spans="1:39" ht="18" x14ac:dyDescent="0.3">
      <c r="A6" s="6">
        <v>1</v>
      </c>
      <c r="B6" s="7" t="s">
        <v>44</v>
      </c>
      <c r="C6" s="7" t="s">
        <v>53</v>
      </c>
      <c r="D6" s="5" t="s">
        <v>21</v>
      </c>
      <c r="E6" s="5" t="s">
        <v>21</v>
      </c>
      <c r="F6" s="5" t="s">
        <v>21</v>
      </c>
      <c r="G6" s="5" t="s">
        <v>21</v>
      </c>
      <c r="H6" s="5" t="s">
        <v>59</v>
      </c>
      <c r="I6" s="5" t="s">
        <v>21</v>
      </c>
      <c r="J6" s="5" t="s">
        <v>21</v>
      </c>
      <c r="K6" s="5" t="s">
        <v>21</v>
      </c>
      <c r="L6" s="5" t="s">
        <v>21</v>
      </c>
      <c r="M6" s="5" t="s">
        <v>21</v>
      </c>
      <c r="N6" s="5" t="s">
        <v>21</v>
      </c>
      <c r="O6" s="5" t="s">
        <v>59</v>
      </c>
      <c r="P6" s="5" t="s">
        <v>21</v>
      </c>
      <c r="Q6" s="5" t="s">
        <v>21</v>
      </c>
      <c r="R6" s="5" t="s">
        <v>21</v>
      </c>
      <c r="S6" s="5" t="s">
        <v>21</v>
      </c>
      <c r="T6" s="5" t="s">
        <v>21</v>
      </c>
      <c r="U6" s="5" t="s">
        <v>21</v>
      </c>
      <c r="V6" s="5" t="s">
        <v>59</v>
      </c>
      <c r="W6" s="5" t="s">
        <v>21</v>
      </c>
      <c r="X6" s="5" t="s">
        <v>21</v>
      </c>
      <c r="Y6" s="5" t="s">
        <v>21</v>
      </c>
      <c r="Z6" s="5" t="s">
        <v>21</v>
      </c>
      <c r="AA6" s="5" t="s">
        <v>21</v>
      </c>
      <c r="AB6" s="5" t="s">
        <v>21</v>
      </c>
      <c r="AC6" s="5" t="s">
        <v>59</v>
      </c>
      <c r="AD6" s="5" t="s">
        <v>21</v>
      </c>
      <c r="AE6" s="5" t="s">
        <v>21</v>
      </c>
      <c r="AF6" s="5" t="s">
        <v>21</v>
      </c>
      <c r="AG6" s="5" t="s">
        <v>21</v>
      </c>
      <c r="AH6" s="5" t="s">
        <v>21</v>
      </c>
      <c r="AI6" s="5">
        <f>COUNTIF(D6:AH6,"P")</f>
        <v>27</v>
      </c>
      <c r="AJ6" s="5">
        <f>COUNTIF(D6:AH6,"A")</f>
        <v>0</v>
      </c>
      <c r="AK6" s="5">
        <f>COUNTIF(D6:AH6,"H")</f>
        <v>4</v>
      </c>
      <c r="AL6" s="5">
        <f>COUNTIF(D6:AH6,"L")</f>
        <v>0</v>
      </c>
      <c r="AM6" s="10">
        <f>AI6+AK6</f>
        <v>31</v>
      </c>
    </row>
    <row r="7" spans="1:39" ht="18" x14ac:dyDescent="0.3">
      <c r="A7" s="6">
        <v>2</v>
      </c>
      <c r="B7" s="7" t="s">
        <v>45</v>
      </c>
      <c r="C7" s="7" t="s">
        <v>54</v>
      </c>
      <c r="D7" s="5" t="s">
        <v>21</v>
      </c>
      <c r="E7" s="5" t="s">
        <v>26</v>
      </c>
      <c r="F7" s="5" t="s">
        <v>21</v>
      </c>
      <c r="G7" s="5" t="s">
        <v>21</v>
      </c>
      <c r="H7" s="5" t="s">
        <v>59</v>
      </c>
      <c r="I7" s="5" t="s">
        <v>26</v>
      </c>
      <c r="J7" s="5" t="s">
        <v>21</v>
      </c>
      <c r="K7" s="5" t="s">
        <v>21</v>
      </c>
      <c r="L7" s="5" t="s">
        <v>21</v>
      </c>
      <c r="M7" s="5" t="s">
        <v>21</v>
      </c>
      <c r="N7" s="5" t="s">
        <v>21</v>
      </c>
      <c r="O7" s="5" t="s">
        <v>59</v>
      </c>
      <c r="P7" s="5" t="s">
        <v>21</v>
      </c>
      <c r="Q7" s="5" t="s">
        <v>21</v>
      </c>
      <c r="R7" s="5" t="s">
        <v>21</v>
      </c>
      <c r="S7" s="5" t="s">
        <v>21</v>
      </c>
      <c r="T7" s="5" t="s">
        <v>21</v>
      </c>
      <c r="U7" s="5" t="s">
        <v>21</v>
      </c>
      <c r="V7" s="5" t="s">
        <v>59</v>
      </c>
      <c r="W7" s="5" t="s">
        <v>21</v>
      </c>
      <c r="X7" s="5" t="s">
        <v>21</v>
      </c>
      <c r="Y7" s="5" t="s">
        <v>21</v>
      </c>
      <c r="Z7" s="5" t="s">
        <v>21</v>
      </c>
      <c r="AA7" s="5" t="s">
        <v>21</v>
      </c>
      <c r="AB7" s="5" t="s">
        <v>21</v>
      </c>
      <c r="AC7" s="5" t="s">
        <v>59</v>
      </c>
      <c r="AD7" s="5" t="s">
        <v>21</v>
      </c>
      <c r="AE7" s="5" t="s">
        <v>21</v>
      </c>
      <c r="AF7" s="5" t="s">
        <v>21</v>
      </c>
      <c r="AG7" s="5" t="s">
        <v>21</v>
      </c>
      <c r="AH7" s="5" t="s">
        <v>21</v>
      </c>
      <c r="AI7" s="5">
        <f t="shared" ref="AI7:AI15" si="2">COUNTIF(D7:AH7,"P")</f>
        <v>25</v>
      </c>
      <c r="AJ7" s="5">
        <f t="shared" ref="AJ7:AJ15" si="3">COUNTIF(D7:AH7,"A")</f>
        <v>0</v>
      </c>
      <c r="AK7" s="5">
        <f t="shared" ref="AK7:AK15" si="4">COUNTIF(D7:AH7,"H")</f>
        <v>4</v>
      </c>
      <c r="AL7" s="5">
        <f t="shared" ref="AL7:AL15" si="5">COUNTIF(D7:AH7,"L")</f>
        <v>2</v>
      </c>
      <c r="AM7" s="10">
        <f t="shared" ref="AM7:AM15" si="6">AI7+AK7</f>
        <v>29</v>
      </c>
    </row>
    <row r="8" spans="1:39" ht="18" x14ac:dyDescent="0.3">
      <c r="A8" s="6">
        <v>3</v>
      </c>
      <c r="B8" s="7" t="s">
        <v>46</v>
      </c>
      <c r="C8" s="7" t="s">
        <v>53</v>
      </c>
      <c r="D8" s="5" t="s">
        <v>21</v>
      </c>
      <c r="E8" s="5" t="s">
        <v>21</v>
      </c>
      <c r="F8" s="5" t="s">
        <v>21</v>
      </c>
      <c r="G8" s="5" t="s">
        <v>21</v>
      </c>
      <c r="H8" s="5" t="s">
        <v>59</v>
      </c>
      <c r="I8" s="5" t="s">
        <v>21</v>
      </c>
      <c r="J8" s="5" t="s">
        <v>21</v>
      </c>
      <c r="K8" s="5" t="s">
        <v>21</v>
      </c>
      <c r="L8" s="5" t="s">
        <v>21</v>
      </c>
      <c r="M8" s="5" t="s">
        <v>26</v>
      </c>
      <c r="N8" s="5" t="s">
        <v>21</v>
      </c>
      <c r="O8" s="5" t="s">
        <v>59</v>
      </c>
      <c r="P8" s="5" t="s">
        <v>21</v>
      </c>
      <c r="Q8" s="5" t="s">
        <v>26</v>
      </c>
      <c r="R8" s="5" t="s">
        <v>21</v>
      </c>
      <c r="S8" s="5" t="s">
        <v>21</v>
      </c>
      <c r="T8" s="5" t="s">
        <v>21</v>
      </c>
      <c r="U8" s="5" t="s">
        <v>21</v>
      </c>
      <c r="V8" s="5" t="s">
        <v>59</v>
      </c>
      <c r="W8" s="5" t="s">
        <v>21</v>
      </c>
      <c r="X8" s="5" t="s">
        <v>21</v>
      </c>
      <c r="Y8" s="5" t="s">
        <v>21</v>
      </c>
      <c r="Z8" s="5" t="s">
        <v>21</v>
      </c>
      <c r="AA8" s="5" t="s">
        <v>21</v>
      </c>
      <c r="AB8" s="5" t="s">
        <v>21</v>
      </c>
      <c r="AC8" s="5" t="s">
        <v>59</v>
      </c>
      <c r="AD8" s="5" t="s">
        <v>21</v>
      </c>
      <c r="AE8" s="5" t="s">
        <v>21</v>
      </c>
      <c r="AF8" s="5" t="s">
        <v>21</v>
      </c>
      <c r="AG8" s="5" t="s">
        <v>21</v>
      </c>
      <c r="AH8" s="5" t="s">
        <v>21</v>
      </c>
      <c r="AI8" s="5">
        <f t="shared" si="2"/>
        <v>25</v>
      </c>
      <c r="AJ8" s="5">
        <f t="shared" si="3"/>
        <v>0</v>
      </c>
      <c r="AK8" s="5">
        <f t="shared" si="4"/>
        <v>4</v>
      </c>
      <c r="AL8" s="5">
        <f t="shared" si="5"/>
        <v>2</v>
      </c>
      <c r="AM8" s="10">
        <f t="shared" si="6"/>
        <v>29</v>
      </c>
    </row>
    <row r="9" spans="1:39" ht="18" x14ac:dyDescent="0.3">
      <c r="A9" s="6">
        <v>4</v>
      </c>
      <c r="B9" s="7" t="s">
        <v>45</v>
      </c>
      <c r="C9" s="7" t="s">
        <v>54</v>
      </c>
      <c r="D9" s="5" t="s">
        <v>21</v>
      </c>
      <c r="E9" s="5" t="s">
        <v>21</v>
      </c>
      <c r="F9" s="5" t="s">
        <v>21</v>
      </c>
      <c r="G9" s="5" t="s">
        <v>21</v>
      </c>
      <c r="H9" s="5" t="s">
        <v>59</v>
      </c>
      <c r="I9" s="5" t="s">
        <v>21</v>
      </c>
      <c r="J9" s="5" t="s">
        <v>21</v>
      </c>
      <c r="K9" s="5" t="s">
        <v>21</v>
      </c>
      <c r="L9" s="5" t="s">
        <v>21</v>
      </c>
      <c r="M9" s="5" t="s">
        <v>21</v>
      </c>
      <c r="N9" s="5" t="s">
        <v>21</v>
      </c>
      <c r="O9" s="5" t="s">
        <v>59</v>
      </c>
      <c r="P9" s="5" t="s">
        <v>21</v>
      </c>
      <c r="Q9" s="5" t="s">
        <v>21</v>
      </c>
      <c r="R9" s="5" t="s">
        <v>21</v>
      </c>
      <c r="S9" s="5" t="s">
        <v>21</v>
      </c>
      <c r="T9" s="5" t="s">
        <v>21</v>
      </c>
      <c r="U9" s="5" t="s">
        <v>21</v>
      </c>
      <c r="V9" s="5" t="s">
        <v>59</v>
      </c>
      <c r="W9" s="5" t="s">
        <v>21</v>
      </c>
      <c r="X9" s="5" t="s">
        <v>21</v>
      </c>
      <c r="Y9" s="5" t="s">
        <v>21</v>
      </c>
      <c r="Z9" s="5" t="s">
        <v>26</v>
      </c>
      <c r="AA9" s="5" t="s">
        <v>21</v>
      </c>
      <c r="AB9" s="5" t="s">
        <v>21</v>
      </c>
      <c r="AC9" s="5" t="s">
        <v>59</v>
      </c>
      <c r="AD9" s="5" t="s">
        <v>21</v>
      </c>
      <c r="AE9" s="5" t="s">
        <v>21</v>
      </c>
      <c r="AF9" s="5" t="s">
        <v>19</v>
      </c>
      <c r="AG9" s="5" t="s">
        <v>21</v>
      </c>
      <c r="AH9" s="5" t="s">
        <v>21</v>
      </c>
      <c r="AI9" s="5">
        <f t="shared" si="2"/>
        <v>25</v>
      </c>
      <c r="AJ9" s="5">
        <f t="shared" si="3"/>
        <v>1</v>
      </c>
      <c r="AK9" s="5">
        <f t="shared" si="4"/>
        <v>4</v>
      </c>
      <c r="AL9" s="5">
        <f t="shared" si="5"/>
        <v>1</v>
      </c>
      <c r="AM9" s="10">
        <f t="shared" si="6"/>
        <v>29</v>
      </c>
    </row>
    <row r="10" spans="1:39" ht="18" x14ac:dyDescent="0.3">
      <c r="A10" s="6">
        <v>5</v>
      </c>
      <c r="B10" s="7" t="s">
        <v>47</v>
      </c>
      <c r="C10" s="7" t="s">
        <v>53</v>
      </c>
      <c r="D10" s="5" t="s">
        <v>21</v>
      </c>
      <c r="E10" s="5" t="s">
        <v>21</v>
      </c>
      <c r="F10" s="5" t="s">
        <v>21</v>
      </c>
      <c r="G10" s="5" t="s">
        <v>21</v>
      </c>
      <c r="H10" s="5" t="s">
        <v>59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21</v>
      </c>
      <c r="N10" s="5" t="s">
        <v>21</v>
      </c>
      <c r="O10" s="5" t="s">
        <v>59</v>
      </c>
      <c r="P10" s="5" t="s">
        <v>21</v>
      </c>
      <c r="Q10" s="5" t="s">
        <v>21</v>
      </c>
      <c r="R10" s="5" t="s">
        <v>21</v>
      </c>
      <c r="S10" s="5" t="s">
        <v>21</v>
      </c>
      <c r="T10" s="5" t="s">
        <v>21</v>
      </c>
      <c r="U10" s="5" t="s">
        <v>21</v>
      </c>
      <c r="V10" s="5" t="s">
        <v>59</v>
      </c>
      <c r="W10" s="5" t="s">
        <v>21</v>
      </c>
      <c r="X10" s="5" t="s">
        <v>21</v>
      </c>
      <c r="Y10" s="5" t="s">
        <v>21</v>
      </c>
      <c r="Z10" s="5" t="s">
        <v>21</v>
      </c>
      <c r="AA10" s="5" t="s">
        <v>21</v>
      </c>
      <c r="AB10" s="5" t="s">
        <v>21</v>
      </c>
      <c r="AC10" s="5" t="s">
        <v>59</v>
      </c>
      <c r="AD10" s="5" t="s">
        <v>21</v>
      </c>
      <c r="AE10" s="5" t="s">
        <v>21</v>
      </c>
      <c r="AF10" s="5" t="s">
        <v>21</v>
      </c>
      <c r="AG10" s="5" t="s">
        <v>21</v>
      </c>
      <c r="AH10" s="5" t="s">
        <v>21</v>
      </c>
      <c r="AI10" s="5">
        <f t="shared" si="2"/>
        <v>27</v>
      </c>
      <c r="AJ10" s="5">
        <f t="shared" si="3"/>
        <v>0</v>
      </c>
      <c r="AK10" s="5">
        <f t="shared" si="4"/>
        <v>4</v>
      </c>
      <c r="AL10" s="5">
        <f t="shared" si="5"/>
        <v>0</v>
      </c>
      <c r="AM10" s="10">
        <f t="shared" si="6"/>
        <v>31</v>
      </c>
    </row>
    <row r="11" spans="1:39" ht="18" x14ac:dyDescent="0.3">
      <c r="A11" s="6">
        <v>6</v>
      </c>
      <c r="B11" s="7" t="s">
        <v>48</v>
      </c>
      <c r="C11" s="7" t="s">
        <v>55</v>
      </c>
      <c r="D11" s="5" t="s">
        <v>21</v>
      </c>
      <c r="E11" s="5" t="s">
        <v>21</v>
      </c>
      <c r="F11" s="5" t="s">
        <v>21</v>
      </c>
      <c r="G11" s="5" t="s">
        <v>21</v>
      </c>
      <c r="H11" s="5" t="s">
        <v>59</v>
      </c>
      <c r="I11" s="5" t="s">
        <v>21</v>
      </c>
      <c r="J11" s="5" t="s">
        <v>21</v>
      </c>
      <c r="K11" s="5" t="s">
        <v>26</v>
      </c>
      <c r="L11" s="5" t="s">
        <v>21</v>
      </c>
      <c r="M11" s="5" t="s">
        <v>21</v>
      </c>
      <c r="N11" s="5" t="s">
        <v>21</v>
      </c>
      <c r="O11" s="5" t="s">
        <v>59</v>
      </c>
      <c r="P11" s="5" t="s">
        <v>21</v>
      </c>
      <c r="Q11" s="5" t="s">
        <v>21</v>
      </c>
      <c r="R11" s="5" t="s">
        <v>21</v>
      </c>
      <c r="S11" s="5" t="s">
        <v>21</v>
      </c>
      <c r="T11" s="5" t="s">
        <v>19</v>
      </c>
      <c r="U11" s="5" t="s">
        <v>21</v>
      </c>
      <c r="V11" s="5" t="s">
        <v>59</v>
      </c>
      <c r="W11" s="5" t="s">
        <v>21</v>
      </c>
      <c r="X11" s="5" t="s">
        <v>21</v>
      </c>
      <c r="Y11" s="5" t="s">
        <v>21</v>
      </c>
      <c r="Z11" s="5" t="s">
        <v>21</v>
      </c>
      <c r="AA11" s="5" t="s">
        <v>21</v>
      </c>
      <c r="AB11" s="5" t="s">
        <v>21</v>
      </c>
      <c r="AC11" s="5" t="s">
        <v>59</v>
      </c>
      <c r="AD11" s="5" t="s">
        <v>21</v>
      </c>
      <c r="AE11" s="5" t="s">
        <v>21</v>
      </c>
      <c r="AF11" s="5" t="s">
        <v>21</v>
      </c>
      <c r="AG11" s="5" t="s">
        <v>21</v>
      </c>
      <c r="AH11" s="5" t="s">
        <v>21</v>
      </c>
      <c r="AI11" s="5">
        <f t="shared" si="2"/>
        <v>25</v>
      </c>
      <c r="AJ11" s="5">
        <f t="shared" si="3"/>
        <v>1</v>
      </c>
      <c r="AK11" s="5">
        <f t="shared" si="4"/>
        <v>4</v>
      </c>
      <c r="AL11" s="5">
        <f t="shared" si="5"/>
        <v>1</v>
      </c>
      <c r="AM11" s="10">
        <f t="shared" si="6"/>
        <v>29</v>
      </c>
    </row>
    <row r="12" spans="1:39" ht="18" x14ac:dyDescent="0.3">
      <c r="A12" s="6">
        <v>7</v>
      </c>
      <c r="B12" s="7" t="s">
        <v>49</v>
      </c>
      <c r="C12" s="7" t="s">
        <v>55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59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19</v>
      </c>
      <c r="O12" s="5" t="s">
        <v>59</v>
      </c>
      <c r="P12" s="5" t="s">
        <v>21</v>
      </c>
      <c r="Q12" s="5" t="s">
        <v>21</v>
      </c>
      <c r="R12" s="5" t="s">
        <v>21</v>
      </c>
      <c r="S12" s="5" t="s">
        <v>21</v>
      </c>
      <c r="T12" s="5" t="s">
        <v>21</v>
      </c>
      <c r="U12" s="5" t="s">
        <v>21</v>
      </c>
      <c r="V12" s="5" t="s">
        <v>59</v>
      </c>
      <c r="W12" s="5" t="s">
        <v>21</v>
      </c>
      <c r="X12" s="5" t="s">
        <v>21</v>
      </c>
      <c r="Y12" s="5" t="s">
        <v>21</v>
      </c>
      <c r="Z12" s="5" t="s">
        <v>21</v>
      </c>
      <c r="AA12" s="5" t="s">
        <v>19</v>
      </c>
      <c r="AB12" s="5" t="s">
        <v>21</v>
      </c>
      <c r="AC12" s="5" t="s">
        <v>59</v>
      </c>
      <c r="AD12" s="5" t="s">
        <v>21</v>
      </c>
      <c r="AE12" s="5" t="s">
        <v>21</v>
      </c>
      <c r="AF12" s="5" t="s">
        <v>21</v>
      </c>
      <c r="AG12" s="5" t="s">
        <v>21</v>
      </c>
      <c r="AH12" s="5" t="s">
        <v>21</v>
      </c>
      <c r="AI12" s="5">
        <f t="shared" si="2"/>
        <v>25</v>
      </c>
      <c r="AJ12" s="5">
        <f t="shared" si="3"/>
        <v>2</v>
      </c>
      <c r="AK12" s="5">
        <f t="shared" si="4"/>
        <v>4</v>
      </c>
      <c r="AL12" s="5">
        <f t="shared" si="5"/>
        <v>0</v>
      </c>
      <c r="AM12" s="10">
        <f t="shared" si="6"/>
        <v>29</v>
      </c>
    </row>
    <row r="13" spans="1:39" ht="18" x14ac:dyDescent="0.3">
      <c r="A13" s="6">
        <v>8</v>
      </c>
      <c r="B13" s="7" t="s">
        <v>50</v>
      </c>
      <c r="C13" s="7" t="s">
        <v>54</v>
      </c>
      <c r="D13" s="5" t="s">
        <v>21</v>
      </c>
      <c r="E13" s="5" t="s">
        <v>21</v>
      </c>
      <c r="F13" s="5" t="s">
        <v>19</v>
      </c>
      <c r="G13" s="5" t="s">
        <v>21</v>
      </c>
      <c r="H13" s="5" t="s">
        <v>59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21</v>
      </c>
      <c r="N13" s="5" t="s">
        <v>21</v>
      </c>
      <c r="O13" s="5" t="s">
        <v>59</v>
      </c>
      <c r="P13" s="5" t="s">
        <v>21</v>
      </c>
      <c r="Q13" s="5" t="s">
        <v>21</v>
      </c>
      <c r="R13" s="5" t="s">
        <v>21</v>
      </c>
      <c r="S13" s="5" t="s">
        <v>21</v>
      </c>
      <c r="T13" s="5" t="s">
        <v>21</v>
      </c>
      <c r="U13" s="5" t="s">
        <v>21</v>
      </c>
      <c r="V13" s="5" t="s">
        <v>59</v>
      </c>
      <c r="W13" s="5" t="s">
        <v>21</v>
      </c>
      <c r="X13" s="5" t="s">
        <v>21</v>
      </c>
      <c r="Y13" s="5" t="s">
        <v>21</v>
      </c>
      <c r="Z13" s="5" t="s">
        <v>21</v>
      </c>
      <c r="AA13" s="5" t="s">
        <v>21</v>
      </c>
      <c r="AB13" s="5" t="s">
        <v>21</v>
      </c>
      <c r="AC13" s="5" t="s">
        <v>59</v>
      </c>
      <c r="AD13" s="5" t="s">
        <v>21</v>
      </c>
      <c r="AE13" s="5" t="s">
        <v>21</v>
      </c>
      <c r="AF13" s="5" t="s">
        <v>26</v>
      </c>
      <c r="AG13" s="5" t="s">
        <v>21</v>
      </c>
      <c r="AH13" s="5" t="s">
        <v>21</v>
      </c>
      <c r="AI13" s="5">
        <f t="shared" si="2"/>
        <v>25</v>
      </c>
      <c r="AJ13" s="5">
        <f t="shared" si="3"/>
        <v>1</v>
      </c>
      <c r="AK13" s="5">
        <f t="shared" si="4"/>
        <v>4</v>
      </c>
      <c r="AL13" s="5">
        <f t="shared" si="5"/>
        <v>1</v>
      </c>
      <c r="AM13" s="10">
        <f t="shared" si="6"/>
        <v>29</v>
      </c>
    </row>
    <row r="14" spans="1:39" ht="18" x14ac:dyDescent="0.3">
      <c r="A14" s="6">
        <v>9</v>
      </c>
      <c r="B14" s="7" t="s">
        <v>51</v>
      </c>
      <c r="C14" s="7" t="s">
        <v>56</v>
      </c>
      <c r="D14" s="5" t="s">
        <v>21</v>
      </c>
      <c r="E14" s="5" t="s">
        <v>21</v>
      </c>
      <c r="F14" s="5" t="s">
        <v>21</v>
      </c>
      <c r="G14" s="5" t="s">
        <v>21</v>
      </c>
      <c r="H14" s="5" t="s">
        <v>59</v>
      </c>
      <c r="I14" s="5" t="s">
        <v>21</v>
      </c>
      <c r="J14" s="5" t="s">
        <v>21</v>
      </c>
      <c r="K14" s="5" t="s">
        <v>21</v>
      </c>
      <c r="L14" s="5" t="s">
        <v>21</v>
      </c>
      <c r="M14" s="5" t="s">
        <v>21</v>
      </c>
      <c r="N14" s="5" t="s">
        <v>21</v>
      </c>
      <c r="O14" s="5" t="s">
        <v>59</v>
      </c>
      <c r="P14" s="5" t="s">
        <v>21</v>
      </c>
      <c r="Q14" s="5" t="s">
        <v>21</v>
      </c>
      <c r="R14" s="5" t="s">
        <v>21</v>
      </c>
      <c r="S14" s="5" t="s">
        <v>21</v>
      </c>
      <c r="T14" s="5" t="s">
        <v>21</v>
      </c>
      <c r="U14" s="5" t="s">
        <v>21</v>
      </c>
      <c r="V14" s="5" t="s">
        <v>59</v>
      </c>
      <c r="W14" s="5" t="s">
        <v>21</v>
      </c>
      <c r="X14" s="5" t="s">
        <v>21</v>
      </c>
      <c r="Y14" s="5" t="s">
        <v>21</v>
      </c>
      <c r="Z14" s="5" t="s">
        <v>21</v>
      </c>
      <c r="AA14" s="5" t="s">
        <v>21</v>
      </c>
      <c r="AB14" s="5" t="s">
        <v>21</v>
      </c>
      <c r="AC14" s="5" t="s">
        <v>59</v>
      </c>
      <c r="AD14" s="5" t="s">
        <v>21</v>
      </c>
      <c r="AE14" s="5" t="s">
        <v>21</v>
      </c>
      <c r="AF14" s="5" t="s">
        <v>21</v>
      </c>
      <c r="AG14" s="5" t="s">
        <v>21</v>
      </c>
      <c r="AH14" s="5" t="s">
        <v>21</v>
      </c>
      <c r="AI14" s="5">
        <f t="shared" si="2"/>
        <v>27</v>
      </c>
      <c r="AJ14" s="5">
        <f t="shared" si="3"/>
        <v>0</v>
      </c>
      <c r="AK14" s="5">
        <f t="shared" si="4"/>
        <v>4</v>
      </c>
      <c r="AL14" s="5">
        <f t="shared" si="5"/>
        <v>0</v>
      </c>
      <c r="AM14" s="10">
        <f t="shared" si="6"/>
        <v>31</v>
      </c>
    </row>
    <row r="15" spans="1:39" ht="18.600000000000001" thickBot="1" x14ac:dyDescent="0.35">
      <c r="A15" s="8">
        <v>10</v>
      </c>
      <c r="B15" s="9" t="s">
        <v>52</v>
      </c>
      <c r="C15" s="9" t="s">
        <v>56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59</v>
      </c>
      <c r="I15" s="5" t="s">
        <v>21</v>
      </c>
      <c r="J15" s="5" t="s">
        <v>21</v>
      </c>
      <c r="K15" s="5" t="s">
        <v>21</v>
      </c>
      <c r="L15" s="5" t="s">
        <v>21</v>
      </c>
      <c r="M15" s="5" t="s">
        <v>21</v>
      </c>
      <c r="N15" s="5" t="s">
        <v>21</v>
      </c>
      <c r="O15" s="5" t="s">
        <v>59</v>
      </c>
      <c r="P15" s="5" t="s">
        <v>21</v>
      </c>
      <c r="Q15" s="5" t="s">
        <v>21</v>
      </c>
      <c r="R15" s="5" t="s">
        <v>21</v>
      </c>
      <c r="S15" s="5" t="s">
        <v>21</v>
      </c>
      <c r="T15" s="5" t="s">
        <v>21</v>
      </c>
      <c r="U15" s="5" t="s">
        <v>21</v>
      </c>
      <c r="V15" s="5" t="s">
        <v>59</v>
      </c>
      <c r="W15" s="5" t="s">
        <v>21</v>
      </c>
      <c r="X15" s="5" t="s">
        <v>21</v>
      </c>
      <c r="Y15" s="5" t="s">
        <v>21</v>
      </c>
      <c r="Z15" s="5" t="s">
        <v>21</v>
      </c>
      <c r="AA15" s="5" t="s">
        <v>21</v>
      </c>
      <c r="AB15" s="5" t="s">
        <v>21</v>
      </c>
      <c r="AC15" s="5" t="s">
        <v>59</v>
      </c>
      <c r="AD15" s="5" t="s">
        <v>21</v>
      </c>
      <c r="AE15" s="5" t="s">
        <v>21</v>
      </c>
      <c r="AF15" s="5" t="s">
        <v>21</v>
      </c>
      <c r="AG15" s="5" t="s">
        <v>21</v>
      </c>
      <c r="AH15" s="5" t="s">
        <v>26</v>
      </c>
      <c r="AI15" s="3">
        <f t="shared" si="2"/>
        <v>26</v>
      </c>
      <c r="AJ15" s="3">
        <f t="shared" si="3"/>
        <v>0</v>
      </c>
      <c r="AK15" s="3">
        <f t="shared" si="4"/>
        <v>4</v>
      </c>
      <c r="AL15" s="3">
        <f t="shared" si="5"/>
        <v>1</v>
      </c>
      <c r="AM15" s="11">
        <f t="shared" si="6"/>
        <v>30</v>
      </c>
    </row>
    <row r="16" spans="1:39" ht="21" x14ac:dyDescent="0.4">
      <c r="AI16" s="25" t="s">
        <v>62</v>
      </c>
      <c r="AJ16" s="25"/>
      <c r="AK16" s="25"/>
      <c r="AL16" s="25"/>
      <c r="AM16" s="12">
        <f>SUM(AM6:AM15)</f>
        <v>297</v>
      </c>
    </row>
    <row r="18" spans="26:26" x14ac:dyDescent="0.3">
      <c r="Z18" s="13"/>
    </row>
  </sheetData>
  <mergeCells count="17">
    <mergeCell ref="A2:AM2"/>
    <mergeCell ref="AM4:AM5"/>
    <mergeCell ref="M3:R3"/>
    <mergeCell ref="F3:L3"/>
    <mergeCell ref="S3:Z3"/>
    <mergeCell ref="AA3:AI3"/>
    <mergeCell ref="AJ4:AJ5"/>
    <mergeCell ref="AI4:AI5"/>
    <mergeCell ref="AJ3:AM3"/>
    <mergeCell ref="A3:B3"/>
    <mergeCell ref="C3:E3"/>
    <mergeCell ref="AI16:AL16"/>
    <mergeCell ref="AK4:AK5"/>
    <mergeCell ref="AL4:AL5"/>
    <mergeCell ref="A4:A5"/>
    <mergeCell ref="B4:B5"/>
    <mergeCell ref="C4:C5"/>
  </mergeCells>
  <conditionalFormatting sqref="D6:AH15">
    <cfRule type="containsText" dxfId="5" priority="1" operator="containsText" text="L">
      <formula>NOT(ISERROR(SEARCH("L",D6)))</formula>
    </cfRule>
    <cfRule type="expression" dxfId="4" priority="3">
      <formula>D$4="SUN"</formula>
    </cfRule>
    <cfRule type="containsText" dxfId="3" priority="4" operator="containsText" text="A">
      <formula>NOT(ISERROR(SEARCH("A",D6)))</formula>
    </cfRule>
    <cfRule type="containsText" dxfId="2" priority="5" operator="containsText" text="L">
      <formula>NOT(ISERROR(SEARCH("L",D6)))</formula>
    </cfRule>
  </conditionalFormatting>
  <conditionalFormatting sqref="M8">
    <cfRule type="containsText" dxfId="1" priority="2" operator="containsText" text="L">
      <formula>NOT(ISERROR(SEARCH("L",M8)))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D02B00-AD44-4FCF-98E4-7F36459EC6F5}">
          <x14:formula1>
            <xm:f>Sheet4!$A$2:$A$13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FDC-F115-4AAE-9737-F0C41A1FCDE2}">
  <dimension ref="A2:A13"/>
  <sheetViews>
    <sheetView workbookViewId="0">
      <selection activeCell="B6" sqref="B6"/>
    </sheetView>
  </sheetViews>
  <sheetFormatPr defaultRowHeight="14.4" x14ac:dyDescent="0.3"/>
  <sheetData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A045-B8F1-4BCC-93B0-D3A972F01545}">
  <dimension ref="B3:E22"/>
  <sheetViews>
    <sheetView topLeftCell="A2" workbookViewId="0">
      <selection activeCell="G5" sqref="G5"/>
    </sheetView>
  </sheetViews>
  <sheetFormatPr defaultRowHeight="14.4" x14ac:dyDescent="0.3"/>
  <cols>
    <col min="2" max="5" width="10.33203125" bestFit="1" customWidth="1"/>
  </cols>
  <sheetData>
    <row r="3" spans="2:5" ht="15" thickBot="1" x14ac:dyDescent="0.35"/>
    <row r="4" spans="2:5" ht="21" x14ac:dyDescent="0.3">
      <c r="B4" s="24" t="s">
        <v>64</v>
      </c>
      <c r="C4" s="22" t="s">
        <v>65</v>
      </c>
      <c r="D4" s="22" t="s">
        <v>66</v>
      </c>
      <c r="E4" s="23" t="s">
        <v>67</v>
      </c>
    </row>
    <row r="5" spans="2:5" x14ac:dyDescent="0.3">
      <c r="B5" s="14">
        <v>46375</v>
      </c>
      <c r="C5" s="15">
        <v>46375</v>
      </c>
      <c r="D5" s="16">
        <v>46375</v>
      </c>
      <c r="E5" s="17">
        <v>46375</v>
      </c>
    </row>
    <row r="6" spans="2:5" x14ac:dyDescent="0.3">
      <c r="B6" s="14">
        <v>44342</v>
      </c>
      <c r="C6" s="15">
        <v>44342</v>
      </c>
      <c r="D6" s="16">
        <v>44342</v>
      </c>
      <c r="E6" s="17">
        <v>44342</v>
      </c>
    </row>
    <row r="7" spans="2:5" x14ac:dyDescent="0.3">
      <c r="B7" s="14">
        <v>46373</v>
      </c>
      <c r="C7" s="15">
        <v>46373</v>
      </c>
      <c r="D7" s="16">
        <v>46373</v>
      </c>
      <c r="E7" s="17">
        <v>46373</v>
      </c>
    </row>
    <row r="8" spans="2:5" x14ac:dyDescent="0.3">
      <c r="B8" s="14">
        <v>45857</v>
      </c>
      <c r="C8" s="15">
        <v>45857</v>
      </c>
      <c r="D8" s="16">
        <v>45857</v>
      </c>
      <c r="E8" s="17">
        <v>45857</v>
      </c>
    </row>
    <row r="9" spans="2:5" x14ac:dyDescent="0.3">
      <c r="B9" s="14">
        <v>46373</v>
      </c>
      <c r="C9" s="15">
        <v>46373</v>
      </c>
      <c r="D9" s="16">
        <v>46373</v>
      </c>
      <c r="E9" s="17">
        <v>46373</v>
      </c>
    </row>
    <row r="10" spans="2:5" x14ac:dyDescent="0.3">
      <c r="B10" s="14">
        <v>44644</v>
      </c>
      <c r="C10" s="15">
        <v>44644</v>
      </c>
      <c r="D10" s="16">
        <v>44644</v>
      </c>
      <c r="E10" s="17">
        <v>44644</v>
      </c>
    </row>
    <row r="11" spans="2:5" x14ac:dyDescent="0.3">
      <c r="B11" s="14">
        <v>46373</v>
      </c>
      <c r="C11" s="15">
        <v>46373</v>
      </c>
      <c r="D11" s="16">
        <v>46373</v>
      </c>
      <c r="E11" s="17">
        <v>46373</v>
      </c>
    </row>
    <row r="12" spans="2:5" x14ac:dyDescent="0.3">
      <c r="B12" s="14">
        <v>45738</v>
      </c>
      <c r="C12" s="15">
        <v>45738</v>
      </c>
      <c r="D12" s="16">
        <v>45738</v>
      </c>
      <c r="E12" s="17">
        <v>45738</v>
      </c>
    </row>
    <row r="13" spans="2:5" x14ac:dyDescent="0.3">
      <c r="B13" s="14">
        <v>46373</v>
      </c>
      <c r="C13" s="15">
        <v>46373</v>
      </c>
      <c r="D13" s="16">
        <v>46373</v>
      </c>
      <c r="E13" s="17">
        <v>46373</v>
      </c>
    </row>
    <row r="14" spans="2:5" x14ac:dyDescent="0.3">
      <c r="B14" s="14">
        <v>46373</v>
      </c>
      <c r="C14" s="15">
        <v>46373</v>
      </c>
      <c r="D14" s="16">
        <v>46373</v>
      </c>
      <c r="E14" s="17">
        <v>46373</v>
      </c>
    </row>
    <row r="15" spans="2:5" x14ac:dyDescent="0.3">
      <c r="B15" s="14">
        <v>36752</v>
      </c>
      <c r="C15" s="15">
        <v>36752</v>
      </c>
      <c r="D15" s="16">
        <v>36752</v>
      </c>
      <c r="E15" s="17">
        <v>36752</v>
      </c>
    </row>
    <row r="16" spans="2:5" x14ac:dyDescent="0.3">
      <c r="B16" s="14">
        <v>46373</v>
      </c>
      <c r="C16" s="15">
        <v>46373</v>
      </c>
      <c r="D16" s="16">
        <v>46373</v>
      </c>
      <c r="E16" s="17">
        <v>46373</v>
      </c>
    </row>
    <row r="17" spans="2:5" x14ac:dyDescent="0.3">
      <c r="B17" s="14">
        <v>45734</v>
      </c>
      <c r="C17" s="15">
        <v>45734</v>
      </c>
      <c r="D17" s="16">
        <v>45734</v>
      </c>
      <c r="E17" s="17">
        <v>45734</v>
      </c>
    </row>
    <row r="18" spans="2:5" x14ac:dyDescent="0.3">
      <c r="B18" s="14">
        <v>46373</v>
      </c>
      <c r="C18" s="15">
        <v>46373</v>
      </c>
      <c r="D18" s="16">
        <v>46373</v>
      </c>
      <c r="E18" s="17">
        <v>46373</v>
      </c>
    </row>
    <row r="19" spans="2:5" x14ac:dyDescent="0.3">
      <c r="B19" s="14">
        <v>46373</v>
      </c>
      <c r="C19" s="15">
        <v>46373</v>
      </c>
      <c r="D19" s="16">
        <v>46373</v>
      </c>
      <c r="E19" s="17">
        <v>46373</v>
      </c>
    </row>
    <row r="20" spans="2:5" x14ac:dyDescent="0.3">
      <c r="B20" s="14">
        <v>46373</v>
      </c>
      <c r="C20" s="15">
        <v>46373</v>
      </c>
      <c r="D20" s="16">
        <v>46373</v>
      </c>
      <c r="E20" s="17">
        <v>46373</v>
      </c>
    </row>
    <row r="21" spans="2:5" x14ac:dyDescent="0.3">
      <c r="B21" s="14">
        <v>46373</v>
      </c>
      <c r="C21" s="15">
        <v>46373</v>
      </c>
      <c r="D21" s="16">
        <v>46373</v>
      </c>
      <c r="E21" s="17">
        <v>46373</v>
      </c>
    </row>
    <row r="22" spans="2:5" ht="15" thickBot="1" x14ac:dyDescent="0.35">
      <c r="B22" s="18">
        <v>46373</v>
      </c>
      <c r="C22" s="19">
        <v>46373</v>
      </c>
      <c r="D22" s="20">
        <v>46373</v>
      </c>
      <c r="E22" s="21">
        <v>46373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automatic attenednce sheet 1</vt:lpstr>
      <vt:lpstr>Sheet2</vt:lpstr>
      <vt:lpstr>automatic attendence sheet</vt:lpstr>
      <vt:lpstr>Sheet4</vt:lpstr>
      <vt:lpstr>date,day,month &amp;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Bhardwaj</dc:creator>
  <cp:lastModifiedBy>Nitesh Bhardwaj</cp:lastModifiedBy>
  <dcterms:created xsi:type="dcterms:W3CDTF">2025-12-13T12:37:06Z</dcterms:created>
  <dcterms:modified xsi:type="dcterms:W3CDTF">2026-05-25T10:32:55Z</dcterms:modified>
</cp:coreProperties>
</file>